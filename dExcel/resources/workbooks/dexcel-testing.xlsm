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B0460B0-290D-438B-9E2E-BBB5BCF2059E}" xr6:coauthVersionLast="47" xr6:coauthVersionMax="47" xr10:uidLastSave="{00000000-0000-0000-0000-000000000000}"/>
  <bookViews>
    <workbookView xWindow="-120" yWindow="-120" windowWidth="24240" windowHeight="13140" tabRatio="721" firstSheet="8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26" i="3" l="1" a="1"/>
  <c r="BP26" i="3"/>
  <c r="BP28" i="3" a="1"/>
  <c r="BP28" i="3"/>
  <c r="G61" i="8"/>
  <c r="F61" i="8"/>
  <c r="E61" i="8"/>
  <c r="D61" i="8"/>
  <c r="C61" i="8"/>
  <c r="C16" i="27" a="1"/>
  <c r="C16" i="27"/>
  <c r="K16" i="27" a="1"/>
  <c r="K16" i="27"/>
  <c r="G16" i="27" a="1"/>
  <c r="G16" i="27"/>
  <c r="L113" i="27"/>
  <c r="L112" i="27"/>
  <c r="L111" i="27"/>
  <c r="L110" i="27"/>
  <c r="O57" i="27"/>
  <c r="M103" i="27" a="1"/>
  <c r="M103" i="27"/>
  <c r="M102" i="27" a="1"/>
  <c r="M102" i="27"/>
  <c r="M100" i="27" a="1"/>
  <c r="M100" i="27"/>
  <c r="M99" i="27" a="1"/>
  <c r="M99" i="27"/>
  <c r="M98" i="27" a="1"/>
  <c r="M98" i="27"/>
  <c r="M97" i="27" a="1"/>
  <c r="M97" i="27"/>
  <c r="M96" i="27" a="1"/>
  <c r="M96" i="27"/>
  <c r="M44" i="27"/>
  <c r="J120" i="27"/>
  <c r="K110" i="27"/>
  <c r="L116" i="27"/>
  <c r="D72" i="24" a="1"/>
  <c r="D72" i="24"/>
  <c r="D71" i="24" a="1"/>
  <c r="D71" i="24"/>
  <c r="C64" i="24" a="1"/>
  <c r="O27" i="3" a="1"/>
  <c r="D27" i="3" a="1"/>
  <c r="D27" i="3" l="1"/>
  <c r="O27" i="3"/>
  <c r="C64" i="24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45" i="25" a="1"/>
  <c r="D45" i="25" s="1"/>
  <c r="D42" i="25" a="1"/>
  <c r="D42" i="25" s="1"/>
  <c r="D39" i="25" a="1"/>
  <c r="D39" i="25"/>
  <c r="AF31" i="25" a="1"/>
  <c r="AF31" i="25" s="1"/>
  <c r="AF26" i="25" a="1"/>
  <c r="AH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 s="1"/>
  <c r="M56" i="27"/>
  <c r="N56" i="27" s="1"/>
  <c r="F57" i="27"/>
  <c r="C16" i="24" a="1"/>
  <c r="M106" i="27" a="1"/>
  <c r="I57" i="27" a="1"/>
  <c r="G57" i="27" a="1"/>
  <c r="C16" i="24" l="1"/>
  <c r="C26" i="25"/>
  <c r="D33" i="25"/>
  <c r="AH33" i="25"/>
  <c r="D52" i="25"/>
  <c r="D27" i="25"/>
  <c r="C45" i="25"/>
  <c r="B45" i="25"/>
  <c r="AG33" i="25"/>
  <c r="D28" i="25"/>
  <c r="AF33" i="25"/>
  <c r="B52" i="25"/>
  <c r="C28" i="25"/>
  <c r="AG28" i="25"/>
  <c r="C47" i="25"/>
  <c r="C32" i="25"/>
  <c r="AG32" i="25"/>
  <c r="C51" i="25"/>
  <c r="AH27" i="25"/>
  <c r="B51" i="25"/>
  <c r="C27" i="25"/>
  <c r="D31" i="25"/>
  <c r="AG27" i="25"/>
  <c r="AH31" i="25"/>
  <c r="C46" i="25"/>
  <c r="D50" i="25"/>
  <c r="AG26" i="25"/>
  <c r="C33" i="25"/>
  <c r="C52" i="25"/>
  <c r="B33" i="25"/>
  <c r="AF32" i="25"/>
  <c r="B27" i="25"/>
  <c r="C31" i="25"/>
  <c r="AF27" i="25"/>
  <c r="AG31" i="25"/>
  <c r="B46" i="25"/>
  <c r="C50" i="25"/>
  <c r="B26" i="25"/>
  <c r="AF26" i="25"/>
  <c r="AH28" i="25"/>
  <c r="D47" i="25"/>
  <c r="D32" i="25"/>
  <c r="AH32" i="25"/>
  <c r="D51" i="25"/>
  <c r="B28" i="25"/>
  <c r="AF28" i="25"/>
  <c r="B47" i="25"/>
  <c r="B32" i="25"/>
  <c r="D46" i="25"/>
  <c r="M106" i="27"/>
  <c r="I57" i="27"/>
  <c r="G57" i="27"/>
  <c r="F17" i="26"/>
  <c r="G17" i="26" s="1"/>
  <c r="H17" i="26" s="1"/>
  <c r="B225" i="3"/>
  <c r="B226" i="3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C40" i="26" a="1"/>
  <c r="N17" i="26" a="1"/>
  <c r="C36" i="26" a="1"/>
  <c r="X17" i="26" a="1"/>
  <c r="S17" i="26" a="1"/>
  <c r="S19" i="26" a="1"/>
  <c r="C32" i="26" a="1"/>
  <c r="S18" i="26" a="1"/>
  <c r="C37" i="26" a="1"/>
  <c r="R21" i="26" a="1"/>
  <c r="C35" i="26" a="1"/>
  <c r="R19" i="26" a="1"/>
  <c r="C41" i="26" a="1"/>
  <c r="C42" i="26" a="1"/>
  <c r="R18" i="26" a="1"/>
  <c r="AG17" i="26" a="1"/>
  <c r="C44" i="26" a="1"/>
  <c r="R20" i="26" a="1"/>
  <c r="C38" i="26" a="1"/>
  <c r="C43" i="26" a="1"/>
  <c r="S21" i="26" a="1"/>
  <c r="C31" i="26" a="1"/>
  <c r="C33" i="26" a="1"/>
  <c r="C34" i="26" a="1"/>
  <c r="S20" i="26" a="1"/>
  <c r="C39" i="26" a="1"/>
  <c r="M59" i="27" a="1"/>
  <c r="M60" i="27" a="1"/>
  <c r="M61" i="27" a="1"/>
  <c r="M62" i="27" a="1"/>
  <c r="M63" i="27" a="1"/>
  <c r="M58" i="27" a="1"/>
  <c r="E17" i="26" a="1"/>
  <c r="M72" i="27" a="1"/>
  <c r="M82" i="27" a="1"/>
  <c r="M86" i="27" a="1"/>
  <c r="M90" i="27" a="1"/>
  <c r="M74" i="27" a="1"/>
  <c r="M73" i="27" a="1"/>
  <c r="M83" i="27" a="1"/>
  <c r="M91" i="27" a="1"/>
  <c r="C12" i="27" a="1"/>
  <c r="M69" i="27" a="1"/>
  <c r="M93" i="27" a="1"/>
  <c r="M77" i="27" a="1"/>
  <c r="M87" i="27" a="1"/>
  <c r="M78" i="27" a="1"/>
  <c r="M88" i="27" a="1"/>
  <c r="M81" i="27" a="1"/>
  <c r="M84" i="27" a="1"/>
  <c r="M68" i="27" a="1"/>
  <c r="M92" i="27" a="1"/>
  <c r="M104" i="27" a="1"/>
  <c r="M66" i="27" a="1"/>
  <c r="M85" i="27" a="1"/>
  <c r="M75" i="27" a="1"/>
  <c r="M64" i="27" a="1"/>
  <c r="M95" i="27" a="1"/>
  <c r="M89" i="27" a="1"/>
  <c r="M80" i="27" a="1"/>
  <c r="M65" i="27" a="1"/>
  <c r="M57" i="27" a="1"/>
  <c r="M101" i="27" a="1"/>
  <c r="J57" i="27" a="1"/>
  <c r="M76" i="27" a="1"/>
  <c r="M67" i="27" a="1"/>
  <c r="M79" i="27" a="1"/>
  <c r="M71" i="27" a="1"/>
  <c r="M94" i="27" a="1"/>
  <c r="M70" i="27" a="1"/>
  <c r="AE27" i="3" a="1"/>
  <c r="B221" i="3" a="1"/>
  <c r="B259" i="3" a="1"/>
  <c r="AU27" i="3" a="1"/>
  <c r="M58" i="27" l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N58" i="27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21" i="3"/>
  <c r="AU27" i="3"/>
  <c r="B259" i="3"/>
  <c r="AE27" i="3"/>
  <c r="R17" i="26" a="1"/>
  <c r="D41" i="26" a="1"/>
  <c r="D43" i="26" a="1"/>
  <c r="D32" i="26" a="1"/>
  <c r="D42" i="26" a="1"/>
  <c r="D40" i="26" a="1"/>
  <c r="D37" i="26" a="1"/>
  <c r="D34" i="26" a="1"/>
  <c r="D31" i="26" a="1"/>
  <c r="D44" i="26" a="1"/>
  <c r="AB17" i="26" a="1"/>
  <c r="D36" i="26" a="1"/>
  <c r="I17" i="26" a="1"/>
  <c r="D39" i="26" a="1"/>
  <c r="D33" i="26" a="1"/>
  <c r="D38" i="26" a="1"/>
  <c r="D35" i="26" a="1"/>
  <c r="AK17" i="26" a="1"/>
  <c r="F96" i="27" a="1"/>
  <c r="F66" i="27" a="1"/>
  <c r="F74" i="27" a="1"/>
  <c r="F88" i="27" a="1"/>
  <c r="F90" i="27" a="1"/>
  <c r="F71" i="27" a="1"/>
  <c r="F85" i="27" a="1"/>
  <c r="F104" i="27" a="1"/>
  <c r="F68" i="27" a="1"/>
  <c r="F82" i="27" a="1"/>
  <c r="F63" i="27" a="1"/>
  <c r="F65" i="27" a="1"/>
  <c r="F84" i="27" a="1"/>
  <c r="F79" i="27" a="1"/>
  <c r="F75" i="27" a="1"/>
  <c r="F69" i="27" a="1"/>
  <c r="F98" i="27" a="1"/>
  <c r="F59" i="27" a="1"/>
  <c r="F76" i="27" a="1"/>
  <c r="F60" i="27" a="1"/>
  <c r="F95" i="27" a="1"/>
  <c r="F62" i="27" a="1"/>
  <c r="F73" i="27" a="1"/>
  <c r="F83" i="27" a="1"/>
  <c r="F99" i="27" a="1"/>
  <c r="F92" i="27" a="1"/>
  <c r="F58" i="27" a="1"/>
  <c r="F70" i="27" a="1"/>
  <c r="F93" i="27" a="1"/>
  <c r="F103" i="27" a="1"/>
  <c r="F67" i="27" a="1"/>
  <c r="F86" i="27" a="1"/>
  <c r="F100" i="27" a="1"/>
  <c r="F64" i="27" a="1"/>
  <c r="F97" i="27" a="1"/>
  <c r="F89" i="27" a="1"/>
  <c r="F61" i="27" a="1"/>
  <c r="F87" i="27" a="1"/>
  <c r="F81" i="27" a="1"/>
  <c r="F78" i="27" a="1"/>
  <c r="F80" i="27" a="1"/>
  <c r="F94" i="27" a="1"/>
  <c r="C4" i="27" a="1"/>
  <c r="F102" i="27" a="1"/>
  <c r="F72" i="27" a="1"/>
  <c r="F77" i="27" a="1"/>
  <c r="F91" i="27" a="1"/>
  <c r="F101" i="27" a="1"/>
  <c r="C261" i="3" a="1"/>
  <c r="C225" i="3" a="1"/>
  <c r="T29" i="3" a="1"/>
  <c r="E225" i="3" a="1"/>
  <c r="G261" i="3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25" i="3"/>
  <c r="C225" i="3"/>
  <c r="G261" i="3"/>
  <c r="C261" i="3"/>
  <c r="T29" i="3"/>
  <c r="C12" i="26" a="1"/>
  <c r="I61" i="27" a="1"/>
  <c r="I86" i="27" a="1"/>
  <c r="I62" i="27" a="1"/>
  <c r="G100" i="27" a="1"/>
  <c r="G68" i="27" a="1"/>
  <c r="G90" i="27" a="1"/>
  <c r="G76" i="27" a="1"/>
  <c r="I65" i="27" a="1"/>
  <c r="I69" i="27" a="1"/>
  <c r="G67" i="27" a="1"/>
  <c r="G64" i="27" a="1"/>
  <c r="G82" i="27" a="1"/>
  <c r="I75" i="27" a="1"/>
  <c r="G72" i="27" a="1"/>
  <c r="I87" i="27" a="1"/>
  <c r="G80" i="27" a="1"/>
  <c r="G104" i="27" a="1"/>
  <c r="G59" i="27" a="1"/>
  <c r="I67" i="27" a="1"/>
  <c r="I103" i="27" a="1"/>
  <c r="I89" i="27" a="1"/>
  <c r="I93" i="27" a="1"/>
  <c r="I79" i="27" a="1"/>
  <c r="G78" i="27" a="1"/>
  <c r="I70" i="27" a="1"/>
  <c r="I58" i="27" a="1"/>
  <c r="I99" i="27" a="1"/>
  <c r="I74" i="27" a="1"/>
  <c r="I68" i="27" a="1"/>
  <c r="G71" i="27" a="1"/>
  <c r="G94" i="27" a="1"/>
  <c r="G98" i="27" a="1"/>
  <c r="G60" i="27" a="1"/>
  <c r="G86" i="27" a="1"/>
  <c r="G84" i="27" a="1"/>
  <c r="I78" i="27" a="1"/>
  <c r="G61" i="27" a="1"/>
  <c r="I90" i="27" a="1"/>
  <c r="G97" i="27" a="1"/>
  <c r="G77" i="27" a="1"/>
  <c r="I59" i="27" a="1"/>
  <c r="I94" i="27" a="1"/>
  <c r="I97" i="27" a="1"/>
  <c r="I84" i="27" a="1"/>
  <c r="G63" i="27" a="1"/>
  <c r="G92" i="27" a="1"/>
  <c r="G96" i="27" a="1"/>
  <c r="I95" i="27" a="1"/>
  <c r="I63" i="27" a="1"/>
  <c r="G79" i="27" a="1"/>
  <c r="I72" i="27" a="1"/>
  <c r="G70" i="27" a="1"/>
  <c r="I92" i="27" a="1"/>
  <c r="G88" i="27" a="1"/>
  <c r="G58" i="27" a="1"/>
  <c r="G93" i="27" a="1"/>
  <c r="G65" i="27" a="1"/>
  <c r="G73" i="27" a="1"/>
  <c r="G81" i="27" a="1"/>
  <c r="G74" i="27" a="1"/>
  <c r="I83" i="27" a="1"/>
  <c r="G103" i="27" a="1"/>
  <c r="G62" i="27" a="1"/>
  <c r="I64" i="27" a="1"/>
  <c r="G102" i="27" a="1"/>
  <c r="G75" i="27" a="1"/>
  <c r="I101" i="27" a="1"/>
  <c r="I73" i="27" a="1"/>
  <c r="G85" i="27" a="1"/>
  <c r="I104" i="27" a="1"/>
  <c r="G91" i="27" a="1"/>
  <c r="I71" i="27" a="1"/>
  <c r="I60" i="27" a="1"/>
  <c r="I91" i="27" a="1"/>
  <c r="G87" i="27" a="1"/>
  <c r="I80" i="27" a="1"/>
  <c r="G83" i="27" a="1"/>
  <c r="I82" i="27" a="1"/>
  <c r="I102" i="27" a="1"/>
  <c r="G95" i="27" a="1"/>
  <c r="I100" i="27" a="1"/>
  <c r="I85" i="27" a="1"/>
  <c r="G69" i="27" a="1"/>
  <c r="I98" i="27" a="1"/>
  <c r="I88" i="27" a="1"/>
  <c r="I66" i="27" a="1"/>
  <c r="I96" i="27" a="1"/>
  <c r="I81" i="27" a="1"/>
  <c r="I76" i="27" a="1"/>
  <c r="G89" i="27" a="1"/>
  <c r="G101" i="27" a="1"/>
  <c r="I77" i="27" a="1"/>
  <c r="G66" i="27" a="1"/>
  <c r="G99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91" i="27" a="1"/>
  <c r="J98" i="27" a="1"/>
  <c r="J97" i="27" a="1"/>
  <c r="J103" i="27" a="1"/>
  <c r="J104" i="27" a="1"/>
  <c r="J72" i="27" a="1"/>
  <c r="J71" i="27" a="1"/>
  <c r="J102" i="27" a="1"/>
  <c r="J62" i="27" a="1"/>
  <c r="J74" i="27" a="1"/>
  <c r="J67" i="27" a="1"/>
  <c r="J64" i="27" a="1"/>
  <c r="J96" i="27" a="1"/>
  <c r="J70" i="27" a="1"/>
  <c r="J60" i="27" a="1"/>
  <c r="J69" i="27" a="1"/>
  <c r="J75" i="27" a="1"/>
  <c r="J83" i="27" a="1"/>
  <c r="J95" i="27" a="1"/>
  <c r="J58" i="27" a="1"/>
  <c r="J99" i="27" a="1"/>
  <c r="J101" i="27" a="1"/>
  <c r="J63" i="27" a="1"/>
  <c r="J90" i="27" a="1"/>
  <c r="J81" i="27" a="1"/>
  <c r="J85" i="27" a="1"/>
  <c r="J88" i="27" a="1"/>
  <c r="J87" i="27" a="1"/>
  <c r="J76" i="27" a="1"/>
  <c r="J100" i="27" a="1"/>
  <c r="J65" i="27" a="1"/>
  <c r="J61" i="27" a="1"/>
  <c r="J84" i="27" a="1"/>
  <c r="J92" i="27" a="1"/>
  <c r="J80" i="27" a="1"/>
  <c r="J78" i="27" a="1"/>
  <c r="J79" i="27" a="1"/>
  <c r="J86" i="27" a="1"/>
  <c r="J73" i="27" a="1"/>
  <c r="J89" i="27" a="1"/>
  <c r="J59" i="27" a="1"/>
  <c r="J77" i="27" a="1"/>
  <c r="J66" i="27" a="1"/>
  <c r="J68" i="27" a="1"/>
  <c r="J93" i="27" a="1"/>
  <c r="J94" i="27" a="1"/>
  <c r="J82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C68" i="3" a="1"/>
  <c r="C68" i="3" l="1"/>
  <c r="C72" i="3" a="1"/>
  <c r="B92" i="3" a="1"/>
  <c r="B112" i="3" a="1"/>
  <c r="J114" i="3" a="1"/>
  <c r="K132" i="3" a="1"/>
  <c r="M133" i="3" a="1"/>
  <c r="L122" i="3" a="1"/>
  <c r="K115" i="3" a="1"/>
  <c r="M135" i="3" a="1"/>
  <c r="L137" i="3" a="1"/>
  <c r="M137" i="3" a="1"/>
  <c r="M125" i="3" a="1"/>
  <c r="L119" i="3" a="1"/>
  <c r="J134" i="3" a="1"/>
  <c r="J126" i="3" a="1"/>
  <c r="K114" i="3" a="1"/>
  <c r="M113" i="3" a="1"/>
  <c r="J128" i="3" a="1"/>
  <c r="L115" i="3" a="1"/>
  <c r="L128" i="3" a="1"/>
  <c r="J122" i="3" a="1"/>
  <c r="J120" i="3" a="1"/>
  <c r="J125" i="3" a="1"/>
  <c r="L116" i="3" a="1"/>
  <c r="J138" i="3" a="1"/>
  <c r="K116" i="3" a="1"/>
  <c r="M129" i="3" a="1"/>
  <c r="L140" i="3" a="1"/>
  <c r="J132" i="3" a="1"/>
  <c r="M132" i="3" a="1"/>
  <c r="K128" i="3" a="1"/>
  <c r="M122" i="3" a="1"/>
  <c r="K139" i="3" a="1"/>
  <c r="J118" i="3" a="1"/>
  <c r="M134" i="3" a="1"/>
  <c r="L114" i="3" a="1"/>
  <c r="J135" i="3" a="1"/>
  <c r="L121" i="3" a="1"/>
  <c r="J139" i="3" a="1"/>
  <c r="L130" i="3" a="1"/>
  <c r="K119" i="3" a="1"/>
  <c r="J130" i="3" a="1"/>
  <c r="L136" i="3" a="1"/>
  <c r="M128" i="3" a="1"/>
  <c r="M139" i="3" a="1"/>
  <c r="K112" i="3" a="1"/>
  <c r="J131" i="3" a="1"/>
  <c r="K138" i="3" a="1"/>
  <c r="L131" i="3" a="1"/>
  <c r="M131" i="3" a="1"/>
  <c r="J124" i="3" a="1"/>
  <c r="M126" i="3" a="1"/>
  <c r="M124" i="3" a="1"/>
  <c r="M136" i="3" a="1"/>
  <c r="M123" i="3" a="1"/>
  <c r="K123" i="3" a="1"/>
  <c r="L141" i="3" a="1"/>
  <c r="L120" i="3" a="1"/>
  <c r="K141" i="3" a="1"/>
  <c r="M138" i="3" a="1"/>
  <c r="M116" i="3" a="1"/>
  <c r="J136" i="3" a="1"/>
  <c r="M120" i="3" a="1"/>
  <c r="L124" i="3" a="1"/>
  <c r="K118" i="3" a="1"/>
  <c r="M141" i="3" a="1"/>
  <c r="J113" i="3" a="1"/>
  <c r="L139" i="3" a="1"/>
  <c r="L123" i="3" a="1"/>
  <c r="L117" i="3" a="1"/>
  <c r="M142" i="3" a="1"/>
  <c r="L134" i="3" a="1"/>
  <c r="K120" i="3" a="1"/>
  <c r="M115" i="3" a="1"/>
  <c r="K117" i="3" a="1"/>
  <c r="J119" i="3" a="1"/>
  <c r="K121" i="3" a="1"/>
  <c r="J129" i="3" a="1"/>
  <c r="L126" i="3" a="1"/>
  <c r="J137" i="3" a="1"/>
  <c r="K137" i="3" a="1"/>
  <c r="K135" i="3" a="1"/>
  <c r="J117" i="3" a="1"/>
  <c r="M130" i="3" a="1"/>
  <c r="M112" i="3" a="1"/>
  <c r="M140" i="3" a="1"/>
  <c r="J121" i="3" a="1"/>
  <c r="L125" i="3" a="1"/>
  <c r="M121" i="3" a="1"/>
  <c r="L112" i="3" a="1"/>
  <c r="M118" i="3" a="1"/>
  <c r="K129" i="3" a="1"/>
  <c r="K113" i="3" a="1"/>
  <c r="J133" i="3" a="1"/>
  <c r="K130" i="3" a="1"/>
  <c r="K125" i="3" a="1"/>
  <c r="J142" i="3" a="1"/>
  <c r="L142" i="3" a="1"/>
  <c r="K122" i="3" a="1"/>
  <c r="L132" i="3" a="1"/>
  <c r="L118" i="3" a="1"/>
  <c r="M117" i="3" a="1"/>
  <c r="K133" i="3" a="1"/>
  <c r="L129" i="3" a="1"/>
  <c r="K140" i="3" a="1"/>
  <c r="K136" i="3" a="1"/>
  <c r="J140" i="3" a="1"/>
  <c r="J123" i="3" a="1"/>
  <c r="L135" i="3" a="1"/>
  <c r="K126" i="3" a="1"/>
  <c r="L113" i="3" a="1"/>
  <c r="M114" i="3" a="1"/>
  <c r="K134" i="3" a="1"/>
  <c r="K124" i="3" a="1"/>
  <c r="K127" i="3" a="1"/>
  <c r="J115" i="3" a="1"/>
  <c r="J127" i="3" a="1"/>
  <c r="J141" i="3" a="1"/>
  <c r="L133" i="3" a="1"/>
  <c r="M127" i="3" a="1"/>
  <c r="L138" i="3" a="1"/>
  <c r="J116" i="3" a="1"/>
  <c r="K131" i="3" a="1"/>
  <c r="M119" i="3" a="1"/>
  <c r="K142" i="3" a="1"/>
  <c r="L127" i="3" a="1"/>
  <c r="L127" i="3" l="1"/>
  <c r="K142" i="3"/>
  <c r="M119" i="3"/>
  <c r="K131" i="3"/>
  <c r="J116" i="3"/>
  <c r="L138" i="3"/>
  <c r="M127" i="3"/>
  <c r="L133" i="3"/>
  <c r="J141" i="3"/>
  <c r="J127" i="3"/>
  <c r="J115" i="3"/>
  <c r="K127" i="3"/>
  <c r="K124" i="3"/>
  <c r="K134" i="3"/>
  <c r="M114" i="3"/>
  <c r="L113" i="3"/>
  <c r="K126" i="3"/>
  <c r="L135" i="3"/>
  <c r="J123" i="3"/>
  <c r="J140" i="3"/>
  <c r="K136" i="3"/>
  <c r="K140" i="3"/>
  <c r="L129" i="3"/>
  <c r="K133" i="3"/>
  <c r="M117" i="3"/>
  <c r="L118" i="3"/>
  <c r="L132" i="3"/>
  <c r="K122" i="3"/>
  <c r="L142" i="3"/>
  <c r="J142" i="3"/>
  <c r="K125" i="3"/>
  <c r="K130" i="3"/>
  <c r="J133" i="3"/>
  <c r="K113" i="3"/>
  <c r="K129" i="3"/>
  <c r="M118" i="3"/>
  <c r="L112" i="3"/>
  <c r="M121" i="3"/>
  <c r="L125" i="3"/>
  <c r="J121" i="3"/>
  <c r="M140" i="3"/>
  <c r="M112" i="3"/>
  <c r="M130" i="3"/>
  <c r="J117" i="3"/>
  <c r="K135" i="3"/>
  <c r="K137" i="3"/>
  <c r="J137" i="3"/>
  <c r="L126" i="3"/>
  <c r="J129" i="3"/>
  <c r="L120" i="3"/>
  <c r="L124" i="3"/>
  <c r="M142" i="3"/>
  <c r="K112" i="3"/>
  <c r="K115" i="3"/>
  <c r="J132" i="3"/>
  <c r="K128" i="3"/>
  <c r="J118" i="3"/>
  <c r="M131" i="3"/>
  <c r="M128" i="3"/>
  <c r="K141" i="3"/>
  <c r="K118" i="3"/>
  <c r="L134" i="3"/>
  <c r="L116" i="3"/>
  <c r="J134" i="3"/>
  <c r="K114" i="3"/>
  <c r="J128" i="3"/>
  <c r="L128" i="3"/>
  <c r="M134" i="3"/>
  <c r="J139" i="3"/>
  <c r="J124" i="3"/>
  <c r="J114" i="3"/>
  <c r="M138" i="3"/>
  <c r="M141" i="3"/>
  <c r="K120" i="3"/>
  <c r="M137" i="3"/>
  <c r="K116" i="3"/>
  <c r="K138" i="3"/>
  <c r="M133" i="3"/>
  <c r="M122" i="3"/>
  <c r="L114" i="3"/>
  <c r="L130" i="3"/>
  <c r="M126" i="3"/>
  <c r="J125" i="3"/>
  <c r="M116" i="3"/>
  <c r="J113" i="3"/>
  <c r="M115" i="3"/>
  <c r="M139" i="3"/>
  <c r="M135" i="3"/>
  <c r="L122" i="3"/>
  <c r="M132" i="3"/>
  <c r="K139" i="3"/>
  <c r="J135" i="3"/>
  <c r="K119" i="3"/>
  <c r="M124" i="3"/>
  <c r="M125" i="3"/>
  <c r="J136" i="3"/>
  <c r="L139" i="3"/>
  <c r="K117" i="3"/>
  <c r="L119" i="3"/>
  <c r="J126" i="3"/>
  <c r="L140" i="3"/>
  <c r="L131" i="3"/>
  <c r="J122" i="3"/>
  <c r="L121" i="3"/>
  <c r="J130" i="3"/>
  <c r="M136" i="3"/>
  <c r="K123" i="3"/>
  <c r="L123" i="3"/>
  <c r="J119" i="3"/>
  <c r="J138" i="3"/>
  <c r="M129" i="3"/>
  <c r="M113" i="3"/>
  <c r="L115" i="3"/>
  <c r="K132" i="3"/>
  <c r="J120" i="3"/>
  <c r="L136" i="3"/>
  <c r="M123" i="3"/>
  <c r="L141" i="3"/>
  <c r="M120" i="3"/>
  <c r="L117" i="3"/>
  <c r="K121" i="3"/>
  <c r="L137" i="3"/>
  <c r="J131" i="3"/>
  <c r="C72" i="3"/>
  <c r="B112" i="3"/>
  <c r="B92" i="3"/>
  <c r="B72" i="3"/>
  <c r="D72" i="3" s="1"/>
  <c r="B73" i="3"/>
  <c r="D73" i="3" s="1"/>
  <c r="F74" i="3" a="1"/>
  <c r="F79" i="3" a="1"/>
  <c r="F77" i="3" a="1"/>
  <c r="F81" i="3" a="1"/>
  <c r="F76" i="3" a="1"/>
  <c r="J112" i="3" a="1"/>
  <c r="F78" i="3" a="1"/>
  <c r="F82" i="3" a="1"/>
  <c r="F75" i="3" a="1"/>
  <c r="F80" i="3" a="1"/>
  <c r="F84" i="3" a="1"/>
  <c r="F83" i="3" a="1"/>
  <c r="F73" i="3" a="1"/>
  <c r="B74" i="3" l="1"/>
  <c r="F79" i="3"/>
  <c r="F75" i="3"/>
  <c r="F74" i="3"/>
  <c r="F73" i="3"/>
  <c r="F78" i="3"/>
  <c r="F80" i="3"/>
  <c r="F83" i="3"/>
  <c r="F76" i="3"/>
  <c r="J112" i="3"/>
  <c r="F81" i="3"/>
  <c r="F84" i="3"/>
  <c r="F77" i="3"/>
  <c r="F82" i="3"/>
  <c r="I28" i="3" a="1"/>
  <c r="I29" i="3" a="1"/>
  <c r="D74" i="3" l="1"/>
  <c r="B75" i="3"/>
  <c r="I28" i="3"/>
  <c r="I29" i="3"/>
  <c r="B76" i="3" l="1"/>
  <c r="D75" i="3"/>
  <c r="B77" i="3" l="1"/>
  <c r="D76" i="3"/>
  <c r="D77" i="3" l="1"/>
  <c r="B78" i="3"/>
  <c r="D78" i="3" l="1"/>
  <c r="B79" i="3"/>
  <c r="D79" i="3" l="1"/>
  <c r="B80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C19" i="1" a="1"/>
  <c r="BN31" i="3" a="1"/>
  <c r="BN29" i="3" a="1"/>
  <c r="BN33" i="3" a="1"/>
  <c r="BN36" i="3" a="1"/>
  <c r="BN35" i="3" a="1"/>
  <c r="BN30" i="3" a="1"/>
  <c r="BN34" i="3" a="1"/>
  <c r="BN40" i="3" a="1"/>
  <c r="BN32" i="3" a="1"/>
  <c r="BN28" i="3" a="1"/>
  <c r="BN27" i="3" a="1"/>
  <c r="D80" i="3" l="1"/>
  <c r="B81" i="3"/>
  <c r="BN26" i="3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94" i="1" a="1"/>
  <c r="BO46" i="3" a="1"/>
  <c r="I105" i="3" a="1"/>
  <c r="I106" i="3" a="1"/>
  <c r="J94" i="3" a="1"/>
  <c r="J96" i="3" a="1"/>
  <c r="BO66" i="3" a="1"/>
  <c r="BO41" i="3" a="1"/>
  <c r="BO60" i="3" a="1"/>
  <c r="J104" i="3" a="1"/>
  <c r="BO54" i="3" a="1"/>
  <c r="J103" i="3" a="1"/>
  <c r="J107" i="3" a="1"/>
  <c r="H98" i="3" a="1"/>
  <c r="BJ27" i="3" a="1"/>
  <c r="H103" i="3" a="1"/>
  <c r="H104" i="3" a="1"/>
  <c r="I92" i="3" a="1"/>
  <c r="BO27" i="3" a="1"/>
  <c r="BO53" i="3" a="1"/>
  <c r="BO43" i="3" a="1"/>
  <c r="I103" i="3" a="1"/>
  <c r="BO62" i="3" a="1"/>
  <c r="BO61" i="3" a="1"/>
  <c r="I104" i="3" a="1"/>
  <c r="BO56" i="3" a="1"/>
  <c r="BO55" i="3" a="1"/>
  <c r="BO67" i="3" a="1"/>
  <c r="BO72" i="3" a="1"/>
  <c r="I96" i="3" a="1"/>
  <c r="BO48" i="3" a="1"/>
  <c r="BO29" i="3" a="1"/>
  <c r="BO49" i="3" a="1"/>
  <c r="I93" i="3" a="1"/>
  <c r="H99" i="3" a="1"/>
  <c r="H95" i="3" a="1"/>
  <c r="J102" i="3" a="1"/>
  <c r="J99" i="3" a="1"/>
  <c r="H102" i="3" a="1"/>
  <c r="J92" i="3" a="1"/>
  <c r="I94" i="3" a="1"/>
  <c r="BO59" i="3" a="1"/>
  <c r="H105" i="3" a="1"/>
  <c r="BO47" i="3" a="1"/>
  <c r="BO63" i="3" a="1"/>
  <c r="H93" i="3" a="1"/>
  <c r="BO51" i="3" a="1"/>
  <c r="I101" i="3" a="1"/>
  <c r="J105" i="3" a="1"/>
  <c r="I102" i="3" a="1"/>
  <c r="J98" i="3" a="1"/>
  <c r="I98" i="3" a="1"/>
  <c r="BO57" i="3" a="1"/>
  <c r="BO52" i="3" a="1"/>
  <c r="J97" i="3" a="1"/>
  <c r="BO42" i="3" a="1"/>
  <c r="BO65" i="3" a="1"/>
  <c r="I97" i="3" a="1"/>
  <c r="H96" i="3" a="1"/>
  <c r="H106" i="3" a="1"/>
  <c r="I95" i="3" a="1"/>
  <c r="J100" i="3" a="1"/>
  <c r="BO71" i="3" a="1"/>
  <c r="J93" i="3" a="1"/>
  <c r="BO50" i="3" a="1"/>
  <c r="H107" i="3" a="1"/>
  <c r="H97" i="3" a="1"/>
  <c r="BO58" i="3" a="1"/>
  <c r="BO44" i="3" a="1"/>
  <c r="BO64" i="3" a="1"/>
  <c r="BO28" i="3" a="1"/>
  <c r="I99" i="3" a="1"/>
  <c r="J106" i="3" a="1"/>
  <c r="H101" i="3" a="1"/>
  <c r="BO69" i="3" a="1"/>
  <c r="BO68" i="3" a="1"/>
  <c r="BO45" i="3" a="1"/>
  <c r="I100" i="3" a="1"/>
  <c r="BO70" i="3" a="1"/>
  <c r="H94" i="3" a="1"/>
  <c r="H100" i="3" a="1"/>
  <c r="I107" i="3" a="1"/>
  <c r="J101" i="3" a="1"/>
  <c r="J95" i="3" a="1"/>
  <c r="BJ27" i="3" l="1"/>
  <c r="B82" i="3"/>
  <c r="D81" i="3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K94" i="1" a="1"/>
  <c r="BP29" i="3" a="1"/>
  <c r="BP30" i="3" a="1"/>
  <c r="BP33" i="3" a="1"/>
  <c r="BP31" i="3" a="1"/>
  <c r="H92" i="3" a="1"/>
  <c r="BP35" i="3" a="1"/>
  <c r="BP32" i="3" a="1"/>
  <c r="BP36" i="3" a="1"/>
  <c r="BP27" i="3" a="1"/>
  <c r="AV31" i="3" a="1"/>
  <c r="BP34" i="3" a="1"/>
  <c r="F72" i="3" a="1"/>
  <c r="BO30" i="3" a="1"/>
  <c r="BP30" i="3" l="1"/>
  <c r="BP29" i="3"/>
  <c r="BP27" i="3"/>
  <c r="B83" i="3"/>
  <c r="D82" i="3"/>
  <c r="BP35" i="3"/>
  <c r="BP34" i="3"/>
  <c r="BP33" i="3"/>
  <c r="BP32" i="3"/>
  <c r="BP31" i="3"/>
  <c r="BP36" i="3"/>
  <c r="F72" i="3"/>
  <c r="H92" i="3"/>
  <c r="K94" i="1"/>
  <c r="C90" i="1" s="1"/>
  <c r="C10" i="1" s="1"/>
  <c r="BO30" i="3"/>
  <c r="AV31" i="3"/>
  <c r="AX27" i="3" s="1"/>
  <c r="BQ29" i="3" a="1"/>
  <c r="BQ28" i="3" a="1"/>
  <c r="BQ30" i="3" a="1"/>
  <c r="AY27" i="3" a="1"/>
  <c r="BQ27" i="3" a="1"/>
  <c r="BE26" i="3" a="1"/>
  <c r="BF43" i="3" a="1"/>
  <c r="BF44" i="3" a="1"/>
  <c r="BF37" i="3" a="1"/>
  <c r="BF36" i="3" a="1"/>
  <c r="BF35" i="3" a="1"/>
  <c r="C61" i="3" a="1"/>
  <c r="BF38" i="3" a="1"/>
  <c r="BO31" i="3" a="1"/>
  <c r="C89" i="3" a="1"/>
  <c r="BF42" i="3" a="1"/>
  <c r="BQ26" i="3" a="1"/>
  <c r="BF40" i="3" a="1"/>
  <c r="BF28" i="3" a="1"/>
  <c r="BF46" i="3" a="1"/>
  <c r="BF47" i="3" a="1"/>
  <c r="BF33" i="3" a="1"/>
  <c r="BF45" i="3" a="1"/>
  <c r="BF32" i="3" a="1"/>
  <c r="BF29" i="3" a="1"/>
  <c r="BF31" i="3" a="1"/>
  <c r="BF30" i="3" a="1"/>
  <c r="BF41" i="3" a="1"/>
  <c r="BF34" i="3" a="1"/>
  <c r="BF39" i="3" a="1"/>
  <c r="BF27" i="3" a="1"/>
  <c r="B84" i="3" l="1"/>
  <c r="D84" i="3" s="1"/>
  <c r="D83" i="3"/>
  <c r="C61" i="3"/>
  <c r="D11" i="3" s="1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F26" i="3" a="1"/>
  <c r="BQ31" i="3" a="1"/>
  <c r="BO32" i="3" a="1"/>
  <c r="AY28" i="3" a="1"/>
  <c r="BQ31" i="3" l="1"/>
  <c r="BO32" i="3"/>
  <c r="BF26" i="3"/>
  <c r="AY28" i="3"/>
  <c r="AX29" i="3"/>
  <c r="AY29" i="3" a="1"/>
  <c r="BQ32" i="3" a="1"/>
  <c r="BO33" i="3" a="1"/>
  <c r="BO33" i="3" l="1"/>
  <c r="BQ32" i="3"/>
  <c r="AY29" i="3"/>
  <c r="AX30" i="3"/>
  <c r="BO34" i="3" a="1"/>
  <c r="AY30" i="3" a="1"/>
  <c r="BQ33" i="3" a="1"/>
  <c r="BO34" i="3" l="1"/>
  <c r="BQ33" i="3"/>
  <c r="AY30" i="3"/>
  <c r="AX31" i="3"/>
  <c r="BQ34" i="3" a="1"/>
  <c r="BO35" i="3" a="1"/>
  <c r="AY31" i="3" a="1"/>
  <c r="BO35" i="3" l="1"/>
  <c r="BQ34" i="3"/>
  <c r="AY31" i="3"/>
  <c r="AX32" i="3"/>
  <c r="AZ26" i="3" a="1"/>
  <c r="BA29" i="3" a="1"/>
  <c r="AY32" i="3" a="1"/>
  <c r="BO36" i="3" a="1"/>
  <c r="BQ35" i="3" a="1"/>
  <c r="BA28" i="3" a="1"/>
  <c r="BA27" i="3" a="1"/>
  <c r="BO36" i="3" l="1"/>
  <c r="BQ35" i="3"/>
  <c r="BA27" i="3"/>
  <c r="BA28" i="3"/>
  <c r="BA29" i="3"/>
  <c r="AY32" i="3"/>
  <c r="AZ26" i="3"/>
  <c r="BA32" i="3" a="1"/>
  <c r="BA30" i="3" a="1"/>
  <c r="BA26" i="3" a="1"/>
  <c r="BA31" i="3" a="1"/>
  <c r="BQ36" i="3" a="1"/>
  <c r="BA30" i="3" l="1"/>
  <c r="BA31" i="3"/>
  <c r="BQ36" i="3"/>
  <c r="BA26" i="3"/>
  <c r="BA32" i="3"/>
  <c r="AZ56" i="3" l="1"/>
  <c r="AZ55" i="3"/>
  <c r="AZ54" i="3"/>
  <c r="AZ53" i="3"/>
  <c r="AZ52" i="3"/>
  <c r="AZ51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E67" i="23" a="1"/>
  <c r="AO43" i="3" a="1"/>
  <c r="BI24" i="3" a="1"/>
  <c r="R35" i="3" a="1"/>
  <c r="R37" i="3" a="1"/>
  <c r="R38" i="3" a="1"/>
  <c r="R36" i="3" a="1"/>
  <c r="R34" i="3" a="1"/>
  <c r="AO46" i="3" a="1"/>
  <c r="AO44" i="3" a="1"/>
  <c r="R42" i="3" a="1"/>
  <c r="AF31" i="3" a="1"/>
  <c r="AX36" i="3" a="1"/>
  <c r="AO47" i="3" a="1"/>
  <c r="AO45" i="3" a="1"/>
  <c r="BI24" i="3" l="1"/>
  <c r="AO43" i="3"/>
  <c r="AO44" i="3"/>
  <c r="AO45" i="3"/>
  <c r="AO46" i="3"/>
  <c r="AO47" i="3"/>
  <c r="AX37" i="3"/>
  <c r="AX40" i="3"/>
  <c r="AX36" i="3"/>
  <c r="AX43" i="3"/>
  <c r="AX42" i="3"/>
  <c r="AX39" i="3"/>
  <c r="AX41" i="3"/>
  <c r="AX38" i="3"/>
  <c r="AX44" i="3"/>
  <c r="E67" i="23"/>
  <c r="AF31" i="3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D48" i="1" a="1"/>
  <c r="S74" i="3" a="1"/>
  <c r="S63" i="3" a="1"/>
  <c r="AO35" i="3" a="1"/>
  <c r="S65" i="3" a="1"/>
  <c r="S66" i="3" a="1"/>
  <c r="S64" i="3" a="1"/>
  <c r="AY44" i="3" a="1"/>
  <c r="AY38" i="3" a="1"/>
  <c r="S57" i="3" a="1"/>
  <c r="AO33" i="3" a="1"/>
  <c r="S59" i="3" a="1"/>
  <c r="S69" i="3" a="1"/>
  <c r="AO40" i="3" a="1"/>
  <c r="AP44" i="3" a="1"/>
  <c r="AO39" i="3" a="1"/>
  <c r="AO28" i="3" a="1"/>
  <c r="AO27" i="3" a="1"/>
  <c r="Y36" i="3" a="1"/>
  <c r="S58" i="3" a="1"/>
  <c r="S67" i="3" a="1"/>
  <c r="S56" i="3" a="1"/>
  <c r="S52" i="3" a="1"/>
  <c r="S72" i="3" a="1"/>
  <c r="T43" i="3" a="1"/>
  <c r="AO30" i="3" a="1"/>
  <c r="AO41" i="3" a="1"/>
  <c r="AY42" i="3" a="1"/>
  <c r="AO29" i="3" a="1"/>
  <c r="AP47" i="3" a="1"/>
  <c r="AY37" i="3" a="1"/>
  <c r="AO34" i="3" a="1"/>
  <c r="AP45" i="3" a="1"/>
  <c r="S73" i="3" a="1"/>
  <c r="AO42" i="3" a="1"/>
  <c r="S62" i="3" a="1"/>
  <c r="S68" i="3" a="1"/>
  <c r="AO32" i="3" a="1"/>
  <c r="S60" i="3" a="1"/>
  <c r="S71" i="3" a="1"/>
  <c r="AO36" i="3" a="1"/>
  <c r="S55" i="3" a="1"/>
  <c r="AP43" i="3" a="1"/>
  <c r="AY41" i="3" a="1"/>
  <c r="S61" i="3" a="1"/>
  <c r="AH36" i="3" a="1"/>
  <c r="AO37" i="3" a="1"/>
  <c r="AP46" i="3" a="1"/>
  <c r="AY40" i="3" a="1"/>
  <c r="S70" i="3" a="1"/>
  <c r="AY39" i="3" a="1"/>
  <c r="AY43" i="3" a="1"/>
  <c r="U43" i="3" a="1"/>
  <c r="AO31" i="3" a="1"/>
  <c r="AJ27" i="3" a="1"/>
  <c r="AO38" i="3" a="1"/>
  <c r="AY43" i="3" l="1"/>
  <c r="AY41" i="3"/>
  <c r="AY40" i="3"/>
  <c r="AY37" i="3"/>
  <c r="AY38" i="3"/>
  <c r="AP47" i="3"/>
  <c r="AY44" i="3"/>
  <c r="AP46" i="3"/>
  <c r="AP45" i="3"/>
  <c r="AP44" i="3"/>
  <c r="AY39" i="3"/>
  <c r="AP43" i="3"/>
  <c r="AY42" i="3"/>
  <c r="AJ27" i="3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35" i="3" a="1"/>
  <c r="AP38" i="3" a="1"/>
  <c r="AP37" i="3" a="1"/>
  <c r="AP39" i="3" a="1"/>
  <c r="AP31" i="3" a="1"/>
  <c r="AP41" i="3" a="1"/>
  <c r="AP32" i="3" a="1"/>
  <c r="AP40" i="3" a="1"/>
  <c r="Z36" i="3" a="1"/>
  <c r="AP33" i="3" a="1"/>
  <c r="AP34" i="3" a="1"/>
  <c r="AP29" i="3" a="1"/>
  <c r="AP42" i="3" a="1"/>
  <c r="AP28" i="3" a="1"/>
  <c r="AP30" i="3" a="1"/>
  <c r="AP27" i="3" a="1"/>
  <c r="AP36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T28" i="3" a="1"/>
  <c r="R32" i="3" a="1"/>
  <c r="R31" i="3" a="1"/>
  <c r="R30" i="3" a="1"/>
  <c r="R33" i="3" a="1"/>
  <c r="S29" i="3" a="1"/>
  <c r="T28" i="3" l="1"/>
  <c r="S29" i="3"/>
  <c r="R31" i="3"/>
  <c r="R32" i="3"/>
  <c r="R30" i="3"/>
  <c r="R33" i="3"/>
  <c r="Y29" i="3" a="1"/>
  <c r="Y30" i="3" a="1"/>
  <c r="S48" i="3" a="1"/>
  <c r="S47" i="3" a="1"/>
  <c r="T33" i="3" a="1"/>
  <c r="T32" i="3" a="1"/>
  <c r="Y44" i="3" a="1"/>
  <c r="AO26" i="3" a="1"/>
  <c r="Y37" i="3" a="1"/>
  <c r="T31" i="3" a="1"/>
  <c r="S50" i="3" a="1"/>
  <c r="S31" i="3" a="1"/>
  <c r="T37" i="3" a="1"/>
  <c r="S45" i="3" a="1"/>
  <c r="Y38" i="3" a="1"/>
  <c r="T36" i="3" a="1"/>
  <c r="Y28" i="3" a="1"/>
  <c r="S43" i="3" a="1"/>
  <c r="S49" i="3" a="1"/>
  <c r="S44" i="3" a="1"/>
  <c r="Y35" i="3" a="1"/>
  <c r="Y43" i="3" a="1"/>
  <c r="Y31" i="3" a="1"/>
  <c r="S51" i="3" a="1"/>
  <c r="S46" i="3" a="1"/>
  <c r="T35" i="3" a="1"/>
  <c r="S53" i="3" a="1"/>
  <c r="T38" i="3" a="1"/>
  <c r="S54" i="3" a="1"/>
  <c r="Y41" i="3" a="1"/>
  <c r="Y32" i="3" a="1"/>
  <c r="Y33" i="3" a="1"/>
  <c r="Y39" i="3" a="1"/>
  <c r="S30" i="3" a="1"/>
  <c r="T34" i="3" a="1"/>
  <c r="Y34" i="3" a="1"/>
  <c r="Y40" i="3" a="1"/>
  <c r="Y42" i="3" a="1"/>
  <c r="T30" i="3" a="1"/>
  <c r="T30" i="3" l="1"/>
  <c r="T31" i="3"/>
  <c r="AO26" i="3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7" i="3"/>
  <c r="T38" i="3"/>
  <c r="T36" i="3"/>
  <c r="T34" i="3"/>
  <c r="T35" i="3"/>
  <c r="T33" i="3"/>
  <c r="T32" i="3"/>
  <c r="S30" i="3"/>
  <c r="S31" i="3"/>
  <c r="S47" i="3"/>
  <c r="S48" i="3"/>
  <c r="S50" i="3"/>
  <c r="S51" i="3"/>
  <c r="S49" i="3"/>
  <c r="S53" i="3"/>
  <c r="S54" i="3"/>
  <c r="S43" i="3"/>
  <c r="S45" i="3"/>
  <c r="S44" i="3"/>
  <c r="S46" i="3"/>
  <c r="AP26" i="3" a="1"/>
  <c r="Z40" i="3" a="1"/>
  <c r="Z33" i="3" a="1"/>
  <c r="U31" i="3" a="1"/>
  <c r="Z29" i="3" a="1"/>
  <c r="Z32" i="3" a="1"/>
  <c r="Z43" i="3" a="1"/>
  <c r="Z44" i="3" a="1"/>
  <c r="Z42" i="3" a="1"/>
  <c r="Z34" i="3" a="1"/>
  <c r="Z39" i="3" a="1"/>
  <c r="Z37" i="3" a="1"/>
  <c r="U30" i="3" a="1"/>
  <c r="Z30" i="3" a="1"/>
  <c r="Z38" i="3" a="1"/>
  <c r="S32" i="3" a="1"/>
  <c r="Z35" i="3" a="1"/>
  <c r="Z28" i="3" a="1"/>
  <c r="Z31" i="3" a="1"/>
  <c r="U28" i="3" a="1"/>
  <c r="Z41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U84" i="3" a="1"/>
  <c r="U83" i="3" a="1"/>
  <c r="U82" i="3" a="1"/>
  <c r="U80" i="3" a="1"/>
  <c r="S33" i="3" a="1"/>
  <c r="U32" i="3" a="1"/>
  <c r="U81" i="3" a="1"/>
  <c r="U79" i="3" a="1"/>
  <c r="U84" i="3" l="1"/>
  <c r="U83" i="3"/>
  <c r="U81" i="3"/>
  <c r="U82" i="3"/>
  <c r="U79" i="3"/>
  <c r="U80" i="3"/>
  <c r="S33" i="3"/>
  <c r="U32" i="3"/>
  <c r="U33" i="3" a="1"/>
  <c r="S34" i="3" a="1"/>
  <c r="S34" i="3" l="1"/>
  <c r="U33" i="3"/>
  <c r="AH26" i="3"/>
  <c r="CU33" i="3"/>
  <c r="AJ26" i="3" a="1"/>
  <c r="AJ30" i="3" a="1"/>
  <c r="AJ31" i="3" a="1"/>
  <c r="AJ28" i="3" a="1"/>
  <c r="S35" i="3" a="1"/>
  <c r="U34" i="3" a="1"/>
  <c r="AJ29" i="3" a="1"/>
  <c r="AJ32" i="3" a="1"/>
  <c r="AI31" i="3" a="1"/>
  <c r="AI29" i="3" a="1"/>
  <c r="CW33" i="3" a="1"/>
  <c r="AI30" i="3" a="1"/>
  <c r="AI27" i="3" a="1"/>
  <c r="AI28" i="3" a="1"/>
  <c r="AI32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U35" i="3" a="1"/>
  <c r="AK29" i="3" a="1"/>
  <c r="AK26" i="3" a="1"/>
  <c r="AK27" i="3" a="1"/>
  <c r="AK28" i="3" a="1"/>
  <c r="AK31" i="3" a="1"/>
  <c r="CX33" i="3" a="1"/>
  <c r="AK30" i="3" a="1"/>
  <c r="S36" i="3" a="1"/>
  <c r="AK32" i="3" a="1"/>
  <c r="AK27" i="3" l="1"/>
  <c r="AK30" i="3"/>
  <c r="AK28" i="3"/>
  <c r="AK29" i="3"/>
  <c r="S36" i="3"/>
  <c r="U35" i="3"/>
  <c r="AK26" i="3"/>
  <c r="CX33" i="3"/>
  <c r="AK31" i="3"/>
  <c r="AK32" i="3"/>
  <c r="AF31" i="14" a="1"/>
  <c r="R31" i="14" a="1"/>
  <c r="U36" i="3" a="1"/>
  <c r="S37" i="3" a="1"/>
  <c r="S37" i="3" l="1"/>
  <c r="U36" i="3"/>
  <c r="R31" i="14"/>
  <c r="AF31" i="14"/>
  <c r="X31" i="14" a="1"/>
  <c r="AL31" i="14" a="1"/>
  <c r="S38" i="3" a="1"/>
  <c r="U37" i="3" a="1"/>
  <c r="S38" i="3" l="1"/>
  <c r="U37" i="3"/>
  <c r="AL31" i="14"/>
  <c r="X31" i="14"/>
  <c r="J42" i="25" a="1"/>
  <c r="Y39" i="25" a="1"/>
  <c r="Y31" i="25" a="1"/>
  <c r="Y23" i="25" a="1"/>
  <c r="Y26" i="25" a="1"/>
  <c r="J39" i="25" a="1"/>
  <c r="Y20" i="25" a="1"/>
  <c r="J20" i="25" a="1"/>
  <c r="Y50" i="25" a="1"/>
  <c r="Y45" i="25" a="1"/>
  <c r="J23" i="25" a="1"/>
  <c r="Y42" i="25" a="1"/>
  <c r="U38" i="3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J46" i="25" a="1"/>
  <c r="H33" i="25" a="1"/>
  <c r="H47" i="25" a="1"/>
  <c r="J52" i="25" a="1"/>
  <c r="H46" i="25" a="1"/>
  <c r="I45" i="25" a="1"/>
  <c r="J47" i="25" a="1"/>
  <c r="J45" i="25" a="1"/>
  <c r="H45" i="25" a="1"/>
  <c r="I28" i="25" a="1"/>
  <c r="I46" i="25" a="1"/>
  <c r="J32" i="25" a="1"/>
  <c r="J51" i="25" a="1"/>
  <c r="J28" i="25" a="1"/>
  <c r="I33" i="25" a="1"/>
  <c r="J26" i="25" a="1"/>
  <c r="H28" i="25" a="1"/>
  <c r="I31" i="25" a="1"/>
  <c r="H27" i="25" a="1"/>
  <c r="J50" i="25" a="1"/>
  <c r="I27" i="25" a="1"/>
  <c r="H51" i="25" a="1"/>
  <c r="I51" i="25" a="1"/>
  <c r="H52" i="25" a="1"/>
  <c r="I26" i="25" a="1"/>
  <c r="J27" i="25" a="1"/>
  <c r="J33" i="25" a="1"/>
  <c r="H31" i="25" a="1"/>
  <c r="I50" i="25" a="1"/>
  <c r="I52" i="25" a="1"/>
  <c r="I47" i="25" a="1"/>
  <c r="H50" i="25" a="1"/>
  <c r="J31" i="25" a="1"/>
  <c r="H26" i="25" a="1"/>
  <c r="I32" i="25" a="1"/>
  <c r="H32" i="25" a="1"/>
  <c r="D5" i="8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C9" i="25" a="1"/>
  <c r="C8" i="25" a="1"/>
  <c r="D6" i="8" a="1"/>
  <c r="D6" i="8" l="1"/>
  <c r="C9" i="25"/>
  <c r="C8" i="25"/>
  <c r="I31" i="14"/>
  <c r="C4" i="25" a="1"/>
  <c r="H31" i="14" a="1"/>
  <c r="C4" i="25" l="1"/>
  <c r="C40" i="8" s="1"/>
  <c r="H31" i="14"/>
  <c r="J31" i="14" a="1"/>
  <c r="J31" i="14" l="1"/>
  <c r="C26" i="14" a="1"/>
  <c r="C26" i="14" l="1"/>
  <c r="D8" i="14" s="1"/>
  <c r="I53" i="3" l="1"/>
  <c r="I52" i="3"/>
  <c r="H125" i="15" a="1"/>
  <c r="H116" i="15" a="1"/>
  <c r="E124" i="13" a="1"/>
  <c r="D50" i="15" a="1"/>
  <c r="CK24" i="3" a="1"/>
  <c r="CU24" i="3" a="1"/>
  <c r="G36" i="3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1" i="3" a="1"/>
  <c r="H37" i="3" a="1"/>
  <c r="H47" i="3" a="1"/>
  <c r="H46" i="3" a="1"/>
  <c r="H42" i="3" a="1"/>
  <c r="H45" i="3" a="1"/>
  <c r="J37" i="3" a="1"/>
  <c r="H48" i="3" a="1"/>
  <c r="H43" i="3" a="1"/>
  <c r="H44" i="3" a="1"/>
  <c r="H39" i="3" a="1"/>
  <c r="H40" i="3" a="1"/>
  <c r="H38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F40" i="17" a="1"/>
  <c r="D259" i="13" a="1"/>
  <c r="S24" i="17" a="1"/>
  <c r="X17" i="21" a="1"/>
  <c r="S19" i="21" a="1"/>
  <c r="AI79" i="13" a="1"/>
  <c r="F39" i="17" a="1"/>
  <c r="BA19" i="14" a="1"/>
  <c r="T26" i="17" a="1"/>
  <c r="AJ20" i="17" a="1"/>
  <c r="C256" i="13" a="1"/>
  <c r="M38" i="17" a="1"/>
  <c r="T25" i="17" a="1"/>
  <c r="BG40" i="5" a="1"/>
  <c r="D261" i="13" a="1"/>
  <c r="T23" i="17" a="1"/>
  <c r="D258" i="13" a="1"/>
  <c r="E100" i="15" a="1"/>
  <c r="X50" i="15" a="1"/>
  <c r="E79" i="13" a="1"/>
  <c r="D256" i="13" a="1"/>
  <c r="R100" i="15" a="1"/>
  <c r="Q26" i="17" a="1"/>
  <c r="R21" i="17" a="1"/>
  <c r="C260" i="13" a="1"/>
  <c r="L79" i="13" a="1"/>
  <c r="R20" i="23" a="1"/>
  <c r="P23" i="17" a="1"/>
  <c r="U25" i="17" a="1"/>
  <c r="S26" i="17" a="1"/>
  <c r="C258" i="13" a="1"/>
  <c r="P25" i="17" a="1"/>
  <c r="AV20" i="17" a="1"/>
  <c r="P22" i="17" a="1"/>
  <c r="R23" i="17" a="1"/>
  <c r="N17" i="21" a="1"/>
  <c r="V17" i="20" a="1"/>
  <c r="S21" i="23" a="1"/>
  <c r="BD63" i="5" a="1"/>
  <c r="R26" i="17" a="1"/>
  <c r="O17" i="20" a="1"/>
  <c r="S23" i="17" a="1"/>
  <c r="E67" i="13" a="1"/>
  <c r="U22" i="17" a="1"/>
  <c r="N17" i="23" a="1"/>
  <c r="E17" i="20" a="1"/>
  <c r="S20" i="23" a="1"/>
  <c r="F38" i="17" a="1"/>
  <c r="E17" i="23" a="1"/>
  <c r="Q23" i="17" a="1"/>
  <c r="E43" i="13" a="1"/>
  <c r="R19" i="23" a="1"/>
  <c r="Q24" i="17" a="1"/>
  <c r="E31" i="13" a="1"/>
  <c r="Q21" i="17" a="1"/>
  <c r="S17" i="23" a="1"/>
  <c r="E210" i="13" a="1"/>
  <c r="T24" i="17" a="1"/>
  <c r="D260" i="13" a="1"/>
  <c r="AG17" i="23" a="1"/>
  <c r="C259" i="13" a="1"/>
  <c r="C50" i="13" a="1"/>
  <c r="Q22" i="17" a="1"/>
  <c r="R18" i="23" a="1"/>
  <c r="S19" i="23" a="1"/>
  <c r="R19" i="21" a="1"/>
  <c r="C261" i="13" a="1"/>
  <c r="P21" i="17" a="1"/>
  <c r="R22" i="17" a="1"/>
  <c r="P24" i="17" a="1"/>
  <c r="D257" i="13" a="1"/>
  <c r="U24" i="17" a="1"/>
  <c r="Z79" i="13" a="1"/>
  <c r="F43" i="17" a="1"/>
  <c r="S21" i="17" a="1"/>
  <c r="AG17" i="20" a="1"/>
  <c r="C255" i="13" a="1"/>
  <c r="AE100" i="15" a="1"/>
  <c r="T21" i="17" a="1"/>
  <c r="S20" i="21" a="1"/>
  <c r="E55" i="13" a="1"/>
  <c r="C38" i="13" a="1"/>
  <c r="S25" i="17" a="1"/>
  <c r="S22" i="17" a="1"/>
  <c r="R24" i="17" a="1"/>
  <c r="E183" i="13" a="1"/>
  <c r="Q25" i="17" a="1"/>
  <c r="E17" i="21" a="1"/>
  <c r="R21" i="23" a="1"/>
  <c r="F41" i="17" a="1"/>
  <c r="AG17" i="21" a="1"/>
  <c r="BO19" i="14" a="1"/>
  <c r="U23" i="17" a="1"/>
  <c r="T22" i="17" a="1"/>
  <c r="R18" i="21" a="1"/>
  <c r="X17" i="23" a="1"/>
  <c r="U26" i="17" a="1"/>
  <c r="F42" i="17" a="1"/>
  <c r="S17" i="21" a="1"/>
  <c r="D255" i="13" a="1"/>
  <c r="C257" i="13" a="1"/>
  <c r="S79" i="13" a="1"/>
  <c r="U21" i="17" a="1"/>
  <c r="P26" i="17" a="1"/>
  <c r="R25" i="17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H43" i="17" a="1"/>
  <c r="Y21" i="17" a="1"/>
  <c r="H38" i="17" a="1"/>
  <c r="I17" i="23" a="1"/>
  <c r="Y23" i="17" a="1"/>
  <c r="J18" i="20" a="1"/>
  <c r="AP20" i="17" a="1"/>
  <c r="S38" i="17" a="1"/>
  <c r="AB17" i="23" a="1"/>
  <c r="AA22" i="17" a="1"/>
  <c r="AC26" i="17" a="1"/>
  <c r="AM17" i="20" a="1"/>
  <c r="G55" i="13" a="1"/>
  <c r="AC24" i="17" a="1"/>
  <c r="AD23" i="17" a="1"/>
  <c r="AB26" i="17" a="1"/>
  <c r="S18" i="21" a="1"/>
  <c r="J100" i="15" a="1"/>
  <c r="Z26" i="17" a="1"/>
  <c r="AD24" i="17" a="1"/>
  <c r="AB23" i="17" a="1"/>
  <c r="BB20" i="17" a="1"/>
  <c r="AK17" i="23" a="1"/>
  <c r="G43" i="13" a="1"/>
  <c r="H42" i="17" a="1"/>
  <c r="BW19" i="14" a="1"/>
  <c r="AC23" i="17" a="1"/>
  <c r="AA21" i="17" a="1"/>
  <c r="Y26" i="17" a="1"/>
  <c r="H40" i="17" a="1"/>
  <c r="AA23" i="17" a="1"/>
  <c r="N79" i="13" a="1"/>
  <c r="Z23" i="17" a="1"/>
  <c r="AC25" i="17" a="1"/>
  <c r="AB24" i="17" a="1"/>
  <c r="AB21" i="17" a="1"/>
  <c r="AB17" i="20" a="1"/>
  <c r="Z24" i="17" a="1"/>
  <c r="AK17" i="21" a="1"/>
  <c r="AC22" i="17" a="1"/>
  <c r="I19" i="20" a="1"/>
  <c r="AB22" i="17" a="1"/>
  <c r="R17" i="23" a="1"/>
  <c r="J19" i="20" a="1"/>
  <c r="AB17" i="21" a="1"/>
  <c r="R17" i="21" a="1"/>
  <c r="AC21" i="17" a="1"/>
  <c r="AD21" i="17" a="1"/>
  <c r="D50" i="1" a="1"/>
  <c r="I17" i="21" a="1"/>
  <c r="AA25" i="17" a="1"/>
  <c r="Z25" i="17" a="1"/>
  <c r="H39" i="17" a="1"/>
  <c r="Z22" i="17" a="1"/>
  <c r="BI19" i="14" a="1"/>
  <c r="AQ79" i="13" a="1"/>
  <c r="I20" i="20" a="1"/>
  <c r="I18" i="20" a="1"/>
  <c r="Y25" i="17" a="1"/>
  <c r="J20" i="20" a="1"/>
  <c r="D85" i="1" a="1"/>
  <c r="R20" i="21" a="1"/>
  <c r="AD25" i="17" a="1"/>
  <c r="Y24" i="17" a="1"/>
  <c r="E85" i="1" a="1"/>
  <c r="Z21" i="17" a="1"/>
  <c r="G67" i="13" a="1"/>
  <c r="AA24" i="17" a="1"/>
  <c r="AB25" i="17" a="1"/>
  <c r="AJ100" i="15" a="1"/>
  <c r="U100" i="15" a="1"/>
  <c r="G31" i="13" a="1"/>
  <c r="Y22" i="17" a="1"/>
  <c r="S18" i="23" a="1"/>
  <c r="AD26" i="17" a="1"/>
  <c r="I17" i="20" a="1"/>
  <c r="AD22" i="17" a="1"/>
  <c r="H41" i="17" a="1"/>
  <c r="AA26" i="17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12" i="23" a="1"/>
  <c r="F85" i="1" a="1"/>
  <c r="E259" i="13" a="1"/>
  <c r="E255" i="13" a="1"/>
  <c r="Q85" i="1" a="1"/>
  <c r="N85" i="1" a="1"/>
  <c r="C62" i="13" a="1"/>
  <c r="C26" i="13" a="1"/>
  <c r="C12" i="21" a="1"/>
  <c r="E260" i="13" a="1"/>
  <c r="C95" i="15" a="1"/>
  <c r="E256" i="13" a="1"/>
  <c r="W85" i="1" a="1"/>
  <c r="J85" i="1" a="1"/>
  <c r="J17" i="20" a="1"/>
  <c r="T85" i="1" a="1"/>
  <c r="C35" i="17" a="1"/>
  <c r="E258" i="13" a="1"/>
  <c r="E261" i="13" a="1"/>
  <c r="E257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1" a="1"/>
  <c r="Q17" i="20" a="1"/>
  <c r="C4" i="24" a="1"/>
  <c r="C31" i="17" a="1"/>
  <c r="C4" i="23" a="1"/>
  <c r="C250" i="13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19" i="14" a="1"/>
  <c r="J43" i="14" a="1"/>
  <c r="L150" i="13" a="1"/>
  <c r="M161" i="13" a="1"/>
  <c r="N148" i="13" a="1"/>
  <c r="N140" i="13" a="1"/>
  <c r="V218" i="5" a="1"/>
  <c r="W222" i="5" a="1"/>
  <c r="T93" i="5" a="1"/>
  <c r="C4" i="20" a="1"/>
  <c r="L109" i="13" a="1"/>
  <c r="O145" i="13" a="1"/>
  <c r="W219" i="5" a="1"/>
  <c r="AF20" i="15" a="1"/>
  <c r="B138" i="13" a="1"/>
  <c r="L147" i="13" a="1"/>
  <c r="L142" i="13" a="1"/>
  <c r="AB94" i="13" a="1"/>
  <c r="L155" i="13" a="1"/>
  <c r="N163" i="13" a="1"/>
  <c r="M140" i="13" a="1"/>
  <c r="M167" i="13" a="1"/>
  <c r="O147" i="13" a="1"/>
  <c r="M143" i="13" a="1"/>
  <c r="N141" i="13" a="1"/>
  <c r="N156" i="13" a="1"/>
  <c r="L162" i="13" a="1"/>
  <c r="O148" i="13" a="1"/>
  <c r="O160" i="13" a="1"/>
  <c r="N243" i="13" a="1"/>
  <c r="T89" i="5" a="1"/>
  <c r="T91" i="5" a="1"/>
  <c r="T97" i="5" a="1"/>
  <c r="T219" i="5" a="1"/>
  <c r="BM43" i="14" a="1"/>
  <c r="CC19" i="14" a="1"/>
  <c r="N147" i="13" a="1"/>
  <c r="N171" i="13" a="1"/>
  <c r="G188" i="13" a="1"/>
  <c r="W19" i="14" a="1"/>
  <c r="G187" i="13" a="1"/>
  <c r="O162" i="13" a="1"/>
  <c r="O143" i="13" a="1"/>
  <c r="M243" i="13" a="1"/>
  <c r="N172" i="13" a="1"/>
  <c r="M154" i="13" a="1"/>
  <c r="L158" i="13" a="1"/>
  <c r="O163" i="13" a="1"/>
  <c r="O170" i="13" a="1"/>
  <c r="M170" i="13" a="1"/>
  <c r="M241" i="13" a="1"/>
  <c r="V217" i="5" a="1"/>
  <c r="X221" i="5" a="1"/>
  <c r="T99" i="5" a="1"/>
  <c r="T90" i="5" a="1"/>
  <c r="N161" i="13" a="1"/>
  <c r="M168" i="13" a="1"/>
  <c r="T20" i="15" a="1"/>
  <c r="O151" i="13" a="1"/>
  <c r="L166" i="13" a="1"/>
  <c r="N169" i="13" a="1"/>
  <c r="O241" i="13" a="1"/>
  <c r="U219" i="5" a="1"/>
  <c r="X219" i="5" a="1"/>
  <c r="N167" i="13" a="1"/>
  <c r="O245" i="13" a="1"/>
  <c r="U223" i="5" a="1"/>
  <c r="N242" i="13" a="1"/>
  <c r="T102" i="5" a="1"/>
  <c r="T98" i="5" a="1"/>
  <c r="AE19" i="14" a="1"/>
  <c r="L242" i="13" a="1"/>
  <c r="AR20" i="15" a="1"/>
  <c r="L146" i="13" a="1"/>
  <c r="N162" i="13" a="1"/>
  <c r="O165" i="13" a="1"/>
  <c r="L152" i="13" a="1"/>
  <c r="N157" i="13" a="1"/>
  <c r="O144" i="13" a="1"/>
  <c r="O166" i="13" a="1"/>
  <c r="S109" i="13" a="1"/>
  <c r="N160" i="13" a="1"/>
  <c r="L151" i="13" a="1"/>
  <c r="O158" i="13" a="1"/>
  <c r="M158" i="13" a="1"/>
  <c r="M155" i="13" a="1"/>
  <c r="L165" i="13" a="1"/>
  <c r="N245" i="13" a="1"/>
  <c r="M242" i="13" a="1"/>
  <c r="X223" i="5" a="1"/>
  <c r="X220" i="5" a="1"/>
  <c r="V219" i="5" a="1"/>
  <c r="W218" i="5" a="1"/>
  <c r="M156" i="13" a="1"/>
  <c r="L172" i="13" a="1"/>
  <c r="B226" i="13" a="1"/>
  <c r="O152" i="13" a="1"/>
  <c r="O172" i="13" a="1"/>
  <c r="M164" i="13" a="1"/>
  <c r="N164" i="13" a="1"/>
  <c r="O243" i="13" a="1"/>
  <c r="T101" i="5" a="1"/>
  <c r="N152" i="13" a="1"/>
  <c r="M165" i="13" a="1"/>
  <c r="M245" i="13" a="1"/>
  <c r="V221" i="5" a="1"/>
  <c r="M145" i="13" a="1"/>
  <c r="W223" i="5" a="1"/>
  <c r="V220" i="5" a="1"/>
  <c r="L156" i="13" a="1"/>
  <c r="N146" i="13" a="1"/>
  <c r="G191" i="13" a="1"/>
  <c r="M153" i="13" a="1"/>
  <c r="T100" i="5" a="1"/>
  <c r="M159" i="13" a="1"/>
  <c r="T92" i="5" a="1"/>
  <c r="N144" i="13" a="1"/>
  <c r="T88" i="5" a="1"/>
  <c r="W220" i="5" a="1"/>
  <c r="O140" i="13" a="1"/>
  <c r="O153" i="13" a="1"/>
  <c r="V223" i="5" a="1"/>
  <c r="G185" i="13" a="1"/>
  <c r="U124" i="13" a="1"/>
  <c r="M157" i="13" a="1"/>
  <c r="AM19" i="14" a="1"/>
  <c r="M141" i="13" a="1"/>
  <c r="AB109" i="13" a="1"/>
  <c r="S210" i="13" a="1"/>
  <c r="O156" i="13" a="1"/>
  <c r="O244" i="13" a="1"/>
  <c r="L140" i="13" a="1"/>
  <c r="L168" i="13" a="1"/>
  <c r="O159" i="13" a="1"/>
  <c r="M169" i="13" a="1"/>
  <c r="N170" i="13" a="1"/>
  <c r="M142" i="13" a="1"/>
  <c r="L244" i="13" a="1"/>
  <c r="M244" i="13" a="1"/>
  <c r="U222" i="5" a="1"/>
  <c r="U218" i="5" a="1"/>
  <c r="U220" i="5" a="1"/>
  <c r="T95" i="5" a="1"/>
  <c r="E109" i="13" a="1"/>
  <c r="O167" i="13" a="1"/>
  <c r="N165" i="13" a="1"/>
  <c r="N138" i="13" a="1"/>
  <c r="L170" i="13" a="1"/>
  <c r="M124" i="13" a="1"/>
  <c r="N159" i="13" a="1"/>
  <c r="G189" i="13" a="1"/>
  <c r="N139" i="13" a="1"/>
  <c r="L148" i="13" a="1"/>
  <c r="O171" i="13" a="1"/>
  <c r="T103" i="5" a="1"/>
  <c r="T221" i="5" a="1"/>
  <c r="T94" i="5" a="1"/>
  <c r="L167" i="13" a="1"/>
  <c r="X222" i="5" a="1"/>
  <c r="F34" i="15" a="1"/>
  <c r="L94" i="13" a="1"/>
  <c r="M151" i="13" a="1"/>
  <c r="L210" i="13" a="1"/>
  <c r="O161" i="13" a="1"/>
  <c r="O169" i="13" a="1"/>
  <c r="O155" i="13" a="1"/>
  <c r="N149" i="13" a="1"/>
  <c r="N150" i="13" a="1"/>
  <c r="M138" i="13" a="1"/>
  <c r="M147" i="13" a="1"/>
  <c r="O150" i="13" a="1"/>
  <c r="O168" i="13" a="1"/>
  <c r="N154" i="13" a="1"/>
  <c r="T217" i="5" a="1"/>
  <c r="E94" i="13" a="1"/>
  <c r="O149" i="13" a="1"/>
  <c r="AA210" i="13" a="1"/>
  <c r="W43" i="14" a="1"/>
  <c r="L169" i="13" a="1"/>
  <c r="L141" i="13" a="1"/>
  <c r="N168" i="13" a="1"/>
  <c r="N142" i="13" a="1"/>
  <c r="L145" i="13" a="1"/>
  <c r="L154" i="13" a="1"/>
  <c r="L164" i="13" a="1"/>
  <c r="S94" i="13" a="1"/>
  <c r="O154" i="13" a="1"/>
  <c r="M172" i="13" a="1"/>
  <c r="M163" i="13" a="1"/>
  <c r="N166" i="13" a="1"/>
  <c r="M166" i="13" a="1"/>
  <c r="M150" i="13" a="1"/>
  <c r="N244" i="13" a="1"/>
  <c r="X217" i="5" a="1"/>
  <c r="M50" i="15" a="1"/>
  <c r="U221" i="5" a="1"/>
  <c r="T220" i="5" a="1"/>
  <c r="T218" i="5" a="1"/>
  <c r="G184" i="13" a="1"/>
  <c r="F20" i="15" a="1"/>
  <c r="T34" i="15" a="1"/>
  <c r="L159" i="13" a="1"/>
  <c r="AI124" i="13" a="1"/>
  <c r="AC35" i="15" a="1"/>
  <c r="L157" i="13" a="1"/>
  <c r="G190" i="13" a="1"/>
  <c r="M146" i="13" a="1"/>
  <c r="E35" i="9" a="1"/>
  <c r="L160" i="13" a="1"/>
  <c r="O141" i="13" a="1"/>
  <c r="L163" i="13" a="1"/>
  <c r="L171" i="13" a="1"/>
  <c r="N151" i="13" a="1"/>
  <c r="M148" i="13" a="1"/>
  <c r="L243" i="13" a="1"/>
  <c r="T222" i="5" a="1"/>
  <c r="M171" i="13" a="1"/>
  <c r="N153" i="13" a="1"/>
  <c r="E17" i="19" a="1"/>
  <c r="AU43" i="14" a="1"/>
  <c r="S183" i="13" a="1"/>
  <c r="AD36" i="15" a="1"/>
  <c r="O164" i="13" a="1"/>
  <c r="O138" i="13" a="1"/>
  <c r="M149" i="13" a="1"/>
  <c r="L183" i="13" a="1"/>
  <c r="M139" i="13" a="1"/>
  <c r="L161" i="13" a="1"/>
  <c r="L144" i="13" a="1"/>
  <c r="M152" i="13" a="1"/>
  <c r="L149" i="13" a="1"/>
  <c r="M162" i="13" a="1"/>
  <c r="O139" i="13" a="1"/>
  <c r="L139" i="13" a="1"/>
  <c r="L245" i="13" a="1"/>
  <c r="T96" i="5" a="1"/>
  <c r="W217" i="5" a="1"/>
  <c r="T223" i="5" a="1"/>
  <c r="X218" i="5" a="1"/>
  <c r="U217" i="5" a="1"/>
  <c r="AI43" i="14" a="1"/>
  <c r="L143" i="13" a="1"/>
  <c r="N145" i="13" a="1"/>
  <c r="N158" i="13" a="1"/>
  <c r="L153" i="13" a="1"/>
  <c r="M144" i="13" a="1"/>
  <c r="O146" i="13" a="1"/>
  <c r="N155" i="13" a="1"/>
  <c r="O142" i="13" a="1"/>
  <c r="M160" i="13" a="1"/>
  <c r="O242" i="13" a="1"/>
  <c r="W221" i="5" a="1"/>
  <c r="V222" i="5" a="1"/>
  <c r="N19" i="14" a="1"/>
  <c r="B241" i="13" a="1"/>
  <c r="O157" i="13" a="1"/>
  <c r="T87" i="5" a="1"/>
  <c r="C4" i="20" l="1"/>
  <c r="C35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2" i="15" a="1"/>
  <c r="BC43" i="14" a="1"/>
  <c r="L21" i="15" a="1"/>
  <c r="AB34" i="15" a="1"/>
  <c r="AC34" i="15" a="1"/>
  <c r="N190" i="13" a="1"/>
  <c r="H17" i="19" a="1"/>
  <c r="G124" i="13" a="1"/>
  <c r="I228" i="13" a="1"/>
  <c r="G212" i="13" a="1"/>
  <c r="U211" i="13" a="1"/>
  <c r="G109" i="13" a="1"/>
  <c r="N193" i="13" a="1"/>
  <c r="N197" i="13" a="1"/>
  <c r="N189" i="13" a="1"/>
  <c r="N186" i="13" a="1"/>
  <c r="AD34" i="15" a="1"/>
  <c r="N210" i="13" a="1"/>
  <c r="G210" i="13" a="1"/>
  <c r="L138" i="13" a="1"/>
  <c r="N184" i="13" a="1"/>
  <c r="G213" i="13" a="1"/>
  <c r="AJ109" i="13" a="1"/>
  <c r="H227" i="13" a="1"/>
  <c r="I227" i="13" a="1"/>
  <c r="AG19" i="14" a="1"/>
  <c r="W109" i="13" a="1"/>
  <c r="G214" i="13" a="1"/>
  <c r="N212" i="13" a="1"/>
  <c r="M21" i="15" a="1"/>
  <c r="AU19" i="14" a="1"/>
  <c r="Z20" i="15" a="1"/>
  <c r="H228" i="13" a="1"/>
  <c r="U212" i="13" a="1"/>
  <c r="L241" i="13" a="1"/>
  <c r="N143" i="13" a="1"/>
  <c r="N199" i="13" a="1"/>
  <c r="BU43" i="14" a="1"/>
  <c r="AJ94" i="13" a="1"/>
  <c r="N213" i="13" a="1"/>
  <c r="N94" i="13" a="1"/>
  <c r="AA183" i="13" a="1"/>
  <c r="L20" i="15" a="1"/>
  <c r="AB35" i="15" a="1"/>
  <c r="N211" i="13" a="1"/>
  <c r="N183" i="13" a="1"/>
  <c r="N191" i="13" a="1"/>
  <c r="N109" i="13" a="1"/>
  <c r="N185" i="13" a="1"/>
  <c r="L43" i="14" a="1"/>
  <c r="I229" i="13" a="1"/>
  <c r="L22" i="15" a="1"/>
  <c r="G94" i="13" a="1"/>
  <c r="Y43" i="14" a="1"/>
  <c r="O124" i="13" a="1"/>
  <c r="N200" i="13" a="1"/>
  <c r="AS124" i="13" a="1"/>
  <c r="Y19" i="14" a="1"/>
  <c r="U79" i="13" a="1"/>
  <c r="M34" i="15" a="1"/>
  <c r="AD79" i="13" a="1"/>
  <c r="M22" i="15" a="1"/>
  <c r="U214" i="13" a="1"/>
  <c r="H230" i="13" a="1"/>
  <c r="W94" i="13" a="1"/>
  <c r="AZ20" i="15" a="1"/>
  <c r="AB36" i="15" a="1"/>
  <c r="AK43" i="14" a="1"/>
  <c r="H226" i="13" a="1"/>
  <c r="G183" i="13" a="1"/>
  <c r="CI19" i="14" a="1"/>
  <c r="AI210" i="13" a="1"/>
  <c r="N198" i="13" a="1"/>
  <c r="N192" i="13" a="1"/>
  <c r="G186" i="13" a="1"/>
  <c r="C203" i="5" a="1"/>
  <c r="U213" i="13" a="1"/>
  <c r="X17" i="19" a="1"/>
  <c r="N188" i="13" a="1"/>
  <c r="M35" i="15" a="1"/>
  <c r="AC36" i="15" a="1"/>
  <c r="G79" i="13" a="1"/>
  <c r="N20" i="15" a="1"/>
  <c r="N194" i="13" a="1"/>
  <c r="H229" i="13" a="1"/>
  <c r="N214" i="13" a="1"/>
  <c r="U210" i="13" a="1"/>
  <c r="Q17" i="19" a="1"/>
  <c r="N195" i="13" a="1"/>
  <c r="AD35" i="15" a="1"/>
  <c r="P19" i="14" a="1"/>
  <c r="G211" i="13" a="1"/>
  <c r="I226" i="13" a="1"/>
  <c r="N187" i="13" a="1"/>
  <c r="AL20" i="15" a="1"/>
  <c r="L34" i="15" a="1"/>
  <c r="N21" i="15" a="1"/>
  <c r="N241" i="13" a="1"/>
  <c r="M20" i="15" a="1"/>
  <c r="N196" i="13" a="1"/>
  <c r="L35" i="15" a="1"/>
  <c r="H19" i="14" a="1"/>
  <c r="I230" i="13" a="1"/>
  <c r="AC124" i="13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17" i="19" a="1"/>
  <c r="C133" i="13" a="1"/>
  <c r="S53" i="15" a="1"/>
  <c r="C236" i="13" a="1"/>
  <c r="C14" i="14" a="1"/>
  <c r="Z17" i="19" a="1"/>
  <c r="C205" i="13" a="1"/>
  <c r="C89" i="13" a="1"/>
  <c r="C15" i="15" a="1"/>
  <c r="C74" i="13" a="1"/>
  <c r="C104" i="13" a="1"/>
  <c r="C28" i="15" a="1"/>
  <c r="K53" i="15" a="1"/>
  <c r="C221" i="13" a="1"/>
  <c r="C17" i="17" a="1"/>
  <c r="C38" i="14" a="1"/>
  <c r="C119" i="13" a="1"/>
  <c r="J53" i="15" a="1"/>
  <c r="C178" i="13" a="1"/>
  <c r="T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3" i="17" a="1"/>
  <c r="C4" i="13" a="1"/>
  <c r="C4" i="14" a="1"/>
  <c r="C44" i="15" a="1"/>
  <c r="C12" i="19" a="1"/>
  <c r="C4" i="13" l="1"/>
  <c r="C13" i="17"/>
  <c r="D7" i="17" s="1"/>
  <c r="C4" i="14"/>
  <c r="C20" i="8" s="1"/>
  <c r="C19" i="8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O98" i="9" a="1"/>
  <c r="O76" i="9" a="1"/>
  <c r="C142" i="9" a="1"/>
  <c r="T125" i="5" a="1"/>
  <c r="W198" i="5" a="1"/>
  <c r="BQ64" i="5" a="1"/>
  <c r="BL42" i="5" a="1"/>
  <c r="W133" i="5" a="1"/>
  <c r="BJ66" i="5" a="1"/>
  <c r="U138" i="5" a="1"/>
  <c r="BO66" i="5" a="1"/>
  <c r="BS66" i="5" a="1"/>
  <c r="BM65" i="5" a="1"/>
  <c r="U88" i="5" a="1"/>
  <c r="BP66" i="5" a="1"/>
  <c r="BL40" i="5" a="1"/>
  <c r="G67" i="1" a="1"/>
  <c r="BK40" i="5" a="1"/>
  <c r="BF67" i="5" a="1"/>
  <c r="V92" i="5" a="1"/>
  <c r="U128" i="5" a="1"/>
  <c r="BQ39" i="5" a="1"/>
  <c r="X89" i="5" a="1"/>
  <c r="U68" i="1" a="1"/>
  <c r="T135" i="5" a="1"/>
  <c r="K177" i="5" a="1"/>
  <c r="F230" i="9" a="1"/>
  <c r="J186" i="9" a="1"/>
  <c r="BO67" i="5" a="1"/>
  <c r="U126" i="5" a="1"/>
  <c r="K181" i="5" a="1"/>
  <c r="V124" i="5" a="1"/>
  <c r="BP63" i="5" a="1"/>
  <c r="BJ65" i="5" a="1"/>
  <c r="BK63" i="5" a="1"/>
  <c r="U100" i="5" a="1"/>
  <c r="BR39" i="5" a="1"/>
  <c r="BM43" i="5" a="1"/>
  <c r="BL63" i="5" a="1"/>
  <c r="X90" i="5" a="1"/>
  <c r="W89" i="5" a="1"/>
  <c r="T133" i="5" a="1"/>
  <c r="BR43" i="5" a="1"/>
  <c r="X128" i="5" a="1"/>
  <c r="BT67" i="5" a="1"/>
  <c r="U123" i="5" a="1"/>
  <c r="W139" i="5" a="1"/>
  <c r="W92" i="5" a="1"/>
  <c r="X127" i="5" a="1"/>
  <c r="BE43" i="5" a="1"/>
  <c r="BD65" i="5" a="1"/>
  <c r="BE63" i="5" a="1"/>
  <c r="BK64" i="5" a="1"/>
  <c r="BL43" i="5" a="1"/>
  <c r="BD67" i="5" a="1"/>
  <c r="D49" i="1" a="1"/>
  <c r="BJ63" i="5" a="1"/>
  <c r="W95" i="5" a="1"/>
  <c r="BH64" i="5" a="1"/>
  <c r="BN39" i="5" a="1"/>
  <c r="BK66" i="5" a="1"/>
  <c r="V126" i="5" a="1"/>
  <c r="BD42" i="5" a="1"/>
  <c r="X100" i="5" a="1"/>
  <c r="X133" i="5" a="1"/>
  <c r="G70" i="1" a="1"/>
  <c r="L157" i="5" a="1"/>
  <c r="K71" i="1" a="1"/>
  <c r="C120" i="9" a="1"/>
  <c r="X137" i="5" a="1"/>
  <c r="K178" i="5" a="1"/>
  <c r="L179" i="5" a="1"/>
  <c r="X101" i="5" a="1"/>
  <c r="W98" i="5" a="1"/>
  <c r="V130" i="5" a="1"/>
  <c r="X88" i="5" a="1"/>
  <c r="W94" i="5" a="1"/>
  <c r="BG43" i="5" a="1"/>
  <c r="V100" i="5" a="1"/>
  <c r="BJ42" i="5" a="1"/>
  <c r="O230" i="9" a="1"/>
  <c r="L230" i="9" a="1"/>
  <c r="C230" i="9" a="1"/>
  <c r="I230" i="9" a="1"/>
  <c r="BD66" i="5" a="1"/>
  <c r="BR63" i="5" a="1"/>
  <c r="BG41" i="5" a="1"/>
  <c r="V88" i="5" a="1"/>
  <c r="W138" i="5" a="1"/>
  <c r="BI65" i="5" a="1"/>
  <c r="BR67" i="5" a="1"/>
  <c r="BH43" i="5" a="1"/>
  <c r="T132" i="5" a="1"/>
  <c r="L178" i="5" a="1"/>
  <c r="U131" i="5" a="1"/>
  <c r="W100" i="5" a="1"/>
  <c r="J32" i="9" a="1"/>
  <c r="O32" i="9" a="1"/>
  <c r="O186" i="9" a="1"/>
  <c r="J120" i="9" a="1"/>
  <c r="U96" i="5" a="1"/>
  <c r="BH66" i="5" a="1"/>
  <c r="BO39" i="5" a="1"/>
  <c r="K157" i="5" a="1"/>
  <c r="L160" i="5" a="1"/>
  <c r="BR65" i="5" a="1"/>
  <c r="K160" i="5" a="1"/>
  <c r="BF42" i="5" a="1"/>
  <c r="BJ43" i="5" a="1"/>
  <c r="W91" i="5" a="1"/>
  <c r="U71" i="1" a="1"/>
  <c r="V138" i="5" a="1"/>
  <c r="T139" i="5" a="1"/>
  <c r="U139" i="5" a="1"/>
  <c r="BJ40" i="5" a="1"/>
  <c r="X132" i="5" a="1"/>
  <c r="BP67" i="5" a="1"/>
  <c r="BI64" i="5" a="1"/>
  <c r="C208" i="9" a="1"/>
  <c r="E208" i="9" a="1"/>
  <c r="O208" i="9" a="1"/>
  <c r="J142" i="9" a="1"/>
  <c r="U92" i="5" a="1"/>
  <c r="BG67" i="5" a="1"/>
  <c r="U70" i="1" a="1"/>
  <c r="X102" i="5" a="1"/>
  <c r="W135" i="5" a="1"/>
  <c r="X134" i="5" a="1"/>
  <c r="W90" i="5" a="1"/>
  <c r="BQ66" i="5" a="1"/>
  <c r="BR40" i="5" a="1"/>
  <c r="BN64" i="5" a="1"/>
  <c r="BR41" i="5" a="1"/>
  <c r="BS41" i="5" a="1"/>
  <c r="BH65" i="5" a="1"/>
  <c r="BS43" i="5" a="1"/>
  <c r="BT66" i="5" a="1"/>
  <c r="X91" i="5" a="1"/>
  <c r="K158" i="5" a="1"/>
  <c r="W101" i="5" a="1"/>
  <c r="V131" i="5" a="1"/>
  <c r="W125" i="5" a="1"/>
  <c r="U91" i="5" a="1"/>
  <c r="BM41" i="5" a="1"/>
  <c r="BD39" i="5" a="1"/>
  <c r="BK42" i="5" a="1"/>
  <c r="BE64" i="5" a="1"/>
  <c r="X99" i="5" a="1"/>
  <c r="V139" i="5" a="1"/>
  <c r="W103" i="5" a="1"/>
  <c r="BK65" i="5" a="1"/>
  <c r="V94" i="5" a="1"/>
  <c r="BR66" i="5" a="1"/>
  <c r="C164" i="9" a="1"/>
  <c r="C98" i="9" a="1"/>
  <c r="E76" i="9" a="1"/>
  <c r="E98" i="9" a="1"/>
  <c r="BH39" i="5" a="1"/>
  <c r="BE40" i="5" a="1"/>
  <c r="BL65" i="5" a="1"/>
  <c r="BH40" i="5" a="1"/>
  <c r="BS64" i="5" a="1"/>
  <c r="U124" i="5" a="1"/>
  <c r="BM42" i="5" a="1"/>
  <c r="V125" i="5" a="1"/>
  <c r="X139" i="5" a="1"/>
  <c r="BI67" i="5" a="1"/>
  <c r="BP64" i="5" a="1"/>
  <c r="BN67" i="5" a="1"/>
  <c r="BT43" i="5" a="1"/>
  <c r="BO42" i="5" a="1"/>
  <c r="BN41" i="5" a="1"/>
  <c r="BG66" i="5" a="1"/>
  <c r="T127" i="5" a="1"/>
  <c r="BO64" i="5" a="1"/>
  <c r="U89" i="5" a="1"/>
  <c r="U127" i="5" a="1"/>
  <c r="BQ67" i="5" a="1"/>
  <c r="W137" i="5" a="1"/>
  <c r="X124" i="5" a="1"/>
  <c r="V123" i="5" a="1"/>
  <c r="V127" i="5" a="1"/>
  <c r="W124" i="5" a="1"/>
  <c r="W123" i="5" a="1"/>
  <c r="X96" i="5" a="1"/>
  <c r="BI66" i="5" a="1"/>
  <c r="X126" i="5" a="1"/>
  <c r="V135" i="5" a="1"/>
  <c r="D47" i="1" a="1"/>
  <c r="V95" i="5" a="1"/>
  <c r="U134" i="5" a="1"/>
  <c r="BK43" i="5" a="1"/>
  <c r="K179" i="5" a="1"/>
  <c r="U67" i="1" a="1"/>
  <c r="W129" i="5" a="1"/>
  <c r="BG65" i="5" a="1"/>
  <c r="BH42" i="5" a="1"/>
  <c r="BQ41" i="5" a="1"/>
  <c r="BO41" i="5" a="1"/>
  <c r="T131" i="5" a="1"/>
  <c r="BE41" i="5" a="1"/>
  <c r="BP41" i="5" a="1"/>
  <c r="L159" i="5" a="1"/>
  <c r="V99" i="5" a="1"/>
  <c r="D51" i="1" a="1"/>
  <c r="U97" i="5" a="1"/>
  <c r="BQ63" i="5" a="1"/>
  <c r="BP43" i="5" a="1"/>
  <c r="BF65" i="5" a="1"/>
  <c r="J164" i="9" a="1"/>
  <c r="E54" i="9" a="1"/>
  <c r="R230" i="9" a="1"/>
  <c r="E120" i="9" a="1"/>
  <c r="I27" i="11" a="1"/>
  <c r="BD64" i="5" a="1"/>
  <c r="BQ42" i="5" a="1"/>
  <c r="U129" i="5" a="1"/>
  <c r="L180" i="5" a="1"/>
  <c r="X197" i="5" a="1"/>
  <c r="BI43" i="5" a="1"/>
  <c r="W102" i="5" a="1"/>
  <c r="BF39" i="5" a="1"/>
  <c r="T138" i="5" a="1"/>
  <c r="W127" i="5" a="1"/>
  <c r="U135" i="5" a="1"/>
  <c r="U103" i="5" a="1"/>
  <c r="U98" i="5" a="1"/>
  <c r="BH67" i="5" a="1"/>
  <c r="V137" i="5" a="1"/>
  <c r="BM64" i="5" a="1"/>
  <c r="C54" i="9" a="1"/>
  <c r="E186" i="9" a="1"/>
  <c r="C76" i="9" a="1"/>
  <c r="O164" i="9" a="1"/>
  <c r="BR42" i="5" a="1"/>
  <c r="W128" i="5" a="1"/>
  <c r="BS63" i="5" a="1"/>
  <c r="G69" i="1" a="1"/>
  <c r="W96" i="5" a="1"/>
  <c r="T134" i="5" a="1"/>
  <c r="W197" i="5" a="1"/>
  <c r="V128" i="5" a="1"/>
  <c r="V93" i="5" a="1"/>
  <c r="BO63" i="5" a="1"/>
  <c r="V87" i="5" a="1"/>
  <c r="K68" i="1" a="1"/>
  <c r="V101" i="5" a="1"/>
  <c r="V90" i="5" a="1"/>
  <c r="BM39" i="5" a="1"/>
  <c r="BE67" i="5" a="1"/>
  <c r="I22" i="11" a="1"/>
  <c r="X138" i="5" a="1"/>
  <c r="U130" i="5" a="1"/>
  <c r="O54" i="9" a="1"/>
  <c r="J208" i="9" a="1"/>
  <c r="J76" i="9" a="1"/>
  <c r="BI42" i="5" a="1"/>
  <c r="BD41" i="5" a="1"/>
  <c r="BO65" i="5" a="1"/>
  <c r="U69" i="1" a="1"/>
  <c r="W99" i="5" a="1"/>
  <c r="W97" i="5" a="1"/>
  <c r="T123" i="5" a="1"/>
  <c r="U94" i="5" a="1"/>
  <c r="X125" i="5" a="1"/>
  <c r="V129" i="5" a="1"/>
  <c r="U133" i="5" a="1"/>
  <c r="G68" i="1" a="1"/>
  <c r="L177" i="5" a="1"/>
  <c r="U93" i="5" a="1"/>
  <c r="BN63" i="5" a="1"/>
  <c r="X135" i="5" a="1"/>
  <c r="V197" i="5" a="1"/>
  <c r="U90" i="5" a="1"/>
  <c r="V98" i="5" a="1"/>
  <c r="V198" i="5" a="1"/>
  <c r="BE39" i="5" a="1"/>
  <c r="BF63" i="5" a="1"/>
  <c r="BQ65" i="5" a="1"/>
  <c r="C32" i="9" a="1"/>
  <c r="U230" i="9" a="1"/>
  <c r="C6" i="2" a="1"/>
  <c r="W87" i="5" a="1"/>
  <c r="U87" i="5" a="1"/>
  <c r="BI63" i="5" a="1"/>
  <c r="X129" i="5" a="1"/>
  <c r="BM40" i="5" a="1"/>
  <c r="V91" i="5" a="1"/>
  <c r="BR64" i="5" a="1"/>
  <c r="BT42" i="5" a="1"/>
  <c r="BK67" i="5" a="1"/>
  <c r="V132" i="5" a="1"/>
  <c r="K180" i="5" a="1"/>
  <c r="X103" i="5" a="1"/>
  <c r="BM66" i="5" a="1"/>
  <c r="BL64" i="5" a="1"/>
  <c r="T126" i="5" a="1"/>
  <c r="X94" i="5" a="1"/>
  <c r="U136" i="5" a="1"/>
  <c r="V103" i="5" a="1"/>
  <c r="T128" i="5" a="1"/>
  <c r="X93" i="5" a="1"/>
  <c r="U197" i="5" a="1"/>
  <c r="BL67" i="5" a="1"/>
  <c r="BH63" i="5" a="1"/>
  <c r="W88" i="5" a="1"/>
  <c r="BF43" i="5" a="1"/>
  <c r="X198" i="5" a="1"/>
  <c r="BG64" i="5" a="1"/>
  <c r="BN43" i="5" a="1"/>
  <c r="K69" i="1" a="1"/>
  <c r="L161" i="5" a="1"/>
  <c r="U198" i="5" a="1"/>
  <c r="BI39" i="5" a="1"/>
  <c r="BE42" i="5" a="1"/>
  <c r="L158" i="5" a="1"/>
  <c r="BN42" i="5" a="1"/>
  <c r="E164" i="9" a="1"/>
  <c r="BS39" i="5" a="1"/>
  <c r="BN40" i="5" a="1"/>
  <c r="BO43" i="5" a="1"/>
  <c r="BN65" i="5" a="1"/>
  <c r="BE65" i="5" a="1"/>
  <c r="V136" i="5" a="1"/>
  <c r="X130" i="5" a="1"/>
  <c r="W130" i="5" a="1"/>
  <c r="BP40" i="5" a="1"/>
  <c r="BN66" i="5" a="1"/>
  <c r="C186" i="9" a="1"/>
  <c r="K67" i="1" a="1"/>
  <c r="U99" i="5" a="1"/>
  <c r="X131" i="5" a="1"/>
  <c r="BT41" i="5" a="1"/>
  <c r="BF41" i="5" a="1"/>
  <c r="U95" i="5" a="1"/>
  <c r="V134" i="5" a="1"/>
  <c r="T129" i="5" a="1"/>
  <c r="BJ41" i="5" a="1"/>
  <c r="BT63" i="5" a="1"/>
  <c r="BE66" i="5" a="1"/>
  <c r="BL39" i="5" a="1"/>
  <c r="T130" i="5" a="1"/>
  <c r="BP65" i="5" a="1"/>
  <c r="BL41" i="5" a="1"/>
  <c r="BS67" i="5" a="1"/>
  <c r="BI40" i="5" a="1"/>
  <c r="BG63" i="5" a="1"/>
  <c r="X87" i="5" a="1"/>
  <c r="O120" i="9" a="1"/>
  <c r="O142" i="9" a="1"/>
  <c r="J98" i="9" a="1"/>
  <c r="U132" i="5" a="1"/>
  <c r="K159" i="5" a="1"/>
  <c r="V102" i="5" a="1"/>
  <c r="W93" i="5" a="1"/>
  <c r="T137" i="5" a="1"/>
  <c r="U125" i="5" a="1"/>
  <c r="BK41" i="5" a="1"/>
  <c r="BD40" i="5" a="1"/>
  <c r="K161" i="5" a="1"/>
  <c r="BS40" i="5" a="1"/>
  <c r="BS65" i="5" a="1"/>
  <c r="G71" i="1" a="1"/>
  <c r="BF66" i="5" a="1"/>
  <c r="BP42" i="5" a="1"/>
  <c r="BD43" i="5" a="1"/>
  <c r="G47" i="1" a="1"/>
  <c r="T124" i="5" a="1"/>
  <c r="X97" i="5" a="1"/>
  <c r="BG42" i="5" a="1"/>
  <c r="W126" i="5" a="1"/>
  <c r="X92" i="5" a="1"/>
  <c r="BF64" i="5" a="1"/>
  <c r="BF40" i="5" a="1"/>
  <c r="X95" i="5" a="1"/>
  <c r="BL66" i="5" a="1"/>
  <c r="T136" i="5" a="1"/>
  <c r="V89" i="5" a="1"/>
  <c r="BJ39" i="5" a="1"/>
  <c r="BG39" i="5" a="1"/>
  <c r="BT39" i="5" a="1"/>
  <c r="U101" i="5" a="1"/>
  <c r="BJ64" i="5" a="1"/>
  <c r="L181" i="5" a="1"/>
  <c r="BK39" i="5" a="1"/>
  <c r="X98" i="5" a="1"/>
  <c r="BH41" i="5" a="1"/>
  <c r="U102" i="5" a="1"/>
  <c r="BT65" i="5" a="1"/>
  <c r="BM63" i="5" a="1"/>
  <c r="V97" i="5" a="1"/>
  <c r="BJ67" i="5" a="1"/>
  <c r="X136" i="5" a="1"/>
  <c r="V96" i="5" a="1"/>
  <c r="T197" i="5" a="1"/>
  <c r="J54" i="9" a="1"/>
  <c r="E142" i="9" a="1"/>
  <c r="BM67" i="5" a="1"/>
  <c r="BQ43" i="5" a="1"/>
  <c r="X123" i="5" a="1"/>
  <c r="W132" i="5" a="1"/>
  <c r="W136" i="5" a="1"/>
  <c r="BT40" i="5" a="1"/>
  <c r="BS42" i="5" a="1"/>
  <c r="K70" i="1" a="1"/>
  <c r="T198" i="5" a="1"/>
  <c r="V133" i="5" a="1"/>
  <c r="BQ40" i="5" a="1"/>
  <c r="BO40" i="5" a="1"/>
  <c r="W131" i="5" a="1"/>
  <c r="BI41" i="5" a="1"/>
  <c r="BP39" i="5" a="1"/>
  <c r="BT64" i="5" a="1"/>
  <c r="W134" i="5" a="1"/>
  <c r="U137" i="5" a="1"/>
  <c r="I26" i="3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D64" i="2" a="1"/>
  <c r="D62" i="2" a="1"/>
  <c r="C137" i="9" a="1"/>
  <c r="D83" i="1" a="1"/>
  <c r="J22" i="11" a="1"/>
  <c r="R70" i="1" a="1"/>
  <c r="V68" i="1" a="1"/>
  <c r="I71" i="1" a="1"/>
  <c r="F115" i="9" a="1"/>
  <c r="F93" i="9" a="1"/>
  <c r="I225" i="9" a="1"/>
  <c r="F27" i="9" a="1"/>
  <c r="K159" i="9" a="1"/>
  <c r="C72" i="5" a="1"/>
  <c r="I25" i="11" a="1"/>
  <c r="O68" i="1" a="1"/>
  <c r="D53" i="1" a="1"/>
  <c r="V70" i="1" a="1"/>
  <c r="D57" i="1" a="1"/>
  <c r="P137" i="9" a="1"/>
  <c r="P49" i="9" a="1"/>
  <c r="K137" i="9" a="1"/>
  <c r="D56" i="1" a="1"/>
  <c r="D55" i="1" a="1"/>
  <c r="D82" i="1" a="1"/>
  <c r="R69" i="1" a="1"/>
  <c r="V69" i="1" a="1"/>
  <c r="V71" i="1" a="1"/>
  <c r="P93" i="9" a="1"/>
  <c r="R67" i="1" a="1"/>
  <c r="K93" i="9" a="1"/>
  <c r="P159" i="9" a="1"/>
  <c r="C225" i="9" a="1"/>
  <c r="R68" i="1" a="1"/>
  <c r="M47" i="1" a="1"/>
  <c r="I70" i="1" a="1"/>
  <c r="M70" i="1" a="1"/>
  <c r="P71" i="9" a="1"/>
  <c r="C24" i="5" a="1"/>
  <c r="P181" i="9" a="1"/>
  <c r="K115" i="9" a="1"/>
  <c r="H17" i="2" a="1"/>
  <c r="L225" i="9" a="1"/>
  <c r="C108" i="5" a="1"/>
  <c r="I69" i="1" a="1"/>
  <c r="C49" i="9" a="1"/>
  <c r="D52" i="1" a="1"/>
  <c r="F181" i="9" a="1"/>
  <c r="K203" i="9" a="1"/>
  <c r="F225" i="9" a="1"/>
  <c r="C115" i="9" a="1"/>
  <c r="C186" i="5" a="1"/>
  <c r="I67" i="1" a="1"/>
  <c r="I24" i="11" a="1"/>
  <c r="M71" i="1" a="1"/>
  <c r="O71" i="1" a="1"/>
  <c r="C166" i="5" a="1"/>
  <c r="D54" i="1" a="1"/>
  <c r="C159" i="9" a="1"/>
  <c r="M69" i="1" a="1"/>
  <c r="C48" i="5" a="1"/>
  <c r="C27" i="9" a="1"/>
  <c r="K71" i="9" a="1"/>
  <c r="P203" i="9" a="1"/>
  <c r="O69" i="1" a="1"/>
  <c r="M68" i="1" a="1"/>
  <c r="I23" i="11" a="1"/>
  <c r="M67" i="1" a="1"/>
  <c r="C144" i="5" a="1"/>
  <c r="D84" i="1" a="1"/>
  <c r="K27" i="9" a="1"/>
  <c r="F137" i="9" a="1"/>
  <c r="O70" i="1" a="1"/>
  <c r="C71" i="9" a="1"/>
  <c r="K49" i="9" a="1"/>
  <c r="F159" i="9" a="1"/>
  <c r="C181" i="9" a="1"/>
  <c r="I26" i="11" a="1"/>
  <c r="O67" i="1" a="1"/>
  <c r="V67" i="1" a="1"/>
  <c r="D81" i="1" a="1"/>
  <c r="C93" i="9" a="1"/>
  <c r="P115" i="9" a="1"/>
  <c r="P27" i="9" a="1"/>
  <c r="R225" i="9" a="1"/>
  <c r="U225" i="9" a="1"/>
  <c r="I68" i="1" a="1"/>
  <c r="O225" i="9" a="1"/>
  <c r="K181" i="9" a="1"/>
  <c r="F71" i="9" a="1"/>
  <c r="R71" i="1" a="1"/>
  <c r="F203" i="9" a="1"/>
  <c r="C203" i="9" a="1"/>
  <c r="F49" i="9" a="1"/>
  <c r="I27" i="3" a="1"/>
  <c r="I31" i="3" a="1"/>
  <c r="U29" i="3" a="1"/>
  <c r="J26" i="3" a="1"/>
  <c r="I30" i="3" a="1"/>
  <c r="I27" i="3" l="1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F62" i="2" a="1"/>
  <c r="F64" i="2" a="1"/>
  <c r="S69" i="1" a="1"/>
  <c r="P67" i="1" a="1"/>
  <c r="J23" i="11" a="1"/>
  <c r="G21" i="2" a="1"/>
  <c r="G81" i="1" a="1"/>
  <c r="R81" i="1" a="1"/>
  <c r="J24" i="11" a="1"/>
  <c r="E53" i="1" a="1"/>
  <c r="C87" i="9" a="1"/>
  <c r="J25" i="11" a="1"/>
  <c r="S70" i="1" a="1"/>
  <c r="E83" i="1" a="1"/>
  <c r="C175" i="9" a="1"/>
  <c r="U81" i="1" a="1"/>
  <c r="E57" i="1" a="1"/>
  <c r="S68" i="1" a="1"/>
  <c r="C65" i="9" a="1"/>
  <c r="E49" i="1" a="1"/>
  <c r="C21" i="9" a="1"/>
  <c r="P70" i="1" a="1"/>
  <c r="E50" i="1" a="1"/>
  <c r="K81" i="1" a="1"/>
  <c r="C219" i="9" a="1"/>
  <c r="S71" i="1" a="1"/>
  <c r="C4" i="5" a="1"/>
  <c r="C153" i="9" a="1"/>
  <c r="E82" i="1" a="1"/>
  <c r="O81" i="1" a="1"/>
  <c r="E51" i="1" a="1"/>
  <c r="C131" i="9" a="1"/>
  <c r="E56" i="1" a="1"/>
  <c r="X81" i="1" a="1"/>
  <c r="C43" i="9" a="1"/>
  <c r="S67" i="1" a="1"/>
  <c r="E48" i="1" a="1"/>
  <c r="E54" i="1" a="1"/>
  <c r="C197" i="9" a="1"/>
  <c r="E55" i="1" a="1"/>
  <c r="E84" i="1" a="1"/>
  <c r="P71" i="1" a="1"/>
  <c r="E81" i="1" a="1"/>
  <c r="E52" i="1" a="1"/>
  <c r="J26" i="11" a="1"/>
  <c r="C109" i="9" a="1"/>
  <c r="E47" i="1" a="1"/>
  <c r="P68" i="1" a="1"/>
  <c r="P69" i="1" a="1"/>
  <c r="J27" i="3" a="1"/>
  <c r="N24" i="3" a="1"/>
  <c r="J28" i="3" a="1"/>
  <c r="J29" i="3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3" i="1" a="1"/>
  <c r="Q82" i="1" a="1"/>
  <c r="T82" i="1" a="1"/>
  <c r="F82" i="1" a="1"/>
  <c r="V85" i="1" a="1"/>
  <c r="M85" i="1" a="1"/>
  <c r="S85" i="1" a="1"/>
  <c r="J82" i="1" a="1"/>
  <c r="Q81" i="1" a="1"/>
  <c r="Y85" i="1" a="1"/>
  <c r="Q84" i="1" a="1"/>
  <c r="C4" i="9" a="1"/>
  <c r="W82" i="1" a="1"/>
  <c r="F84" i="1" a="1"/>
  <c r="T84" i="1" a="1"/>
  <c r="W83" i="1" a="1"/>
  <c r="N83" i="1" a="1"/>
  <c r="N84" i="1" a="1"/>
  <c r="I85" i="1" a="1"/>
  <c r="J83" i="1" a="1"/>
  <c r="N81" i="1" a="1"/>
  <c r="J81" i="1" a="1"/>
  <c r="Q83" i="1" a="1"/>
  <c r="N82" i="1" a="1"/>
  <c r="F83" i="1" a="1"/>
  <c r="W84" i="1" a="1"/>
  <c r="C43" i="1" a="1"/>
  <c r="J27" i="11" a="1"/>
  <c r="J84" i="1" a="1"/>
  <c r="F81" i="1" a="1"/>
  <c r="P85" i="1" a="1"/>
  <c r="T81" i="1" a="1"/>
  <c r="W81" i="1" a="1"/>
  <c r="J30" i="3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Y83" i="1" a="1"/>
  <c r="V81" i="1" a="1"/>
  <c r="V82" i="1" a="1"/>
  <c r="P83" i="1" a="1"/>
  <c r="I82" i="1" a="1"/>
  <c r="S83" i="1" a="1"/>
  <c r="M82" i="1" a="1"/>
  <c r="P81" i="1" a="1"/>
  <c r="C15" i="1" a="1"/>
  <c r="P84" i="1" a="1"/>
  <c r="S81" i="1" a="1"/>
  <c r="C39" i="1" a="1"/>
  <c r="Y82" i="1" a="1"/>
  <c r="Y84" i="1" a="1"/>
  <c r="I81" i="1" a="1"/>
  <c r="S82" i="1" a="1"/>
  <c r="V83" i="1" a="1"/>
  <c r="M81" i="1" a="1"/>
  <c r="M83" i="1" a="1"/>
  <c r="M84" i="1" a="1"/>
  <c r="Y81" i="1" a="1"/>
  <c r="C20" i="11" a="1"/>
  <c r="S84" i="1" a="1"/>
  <c r="V84" i="1" a="1"/>
  <c r="I84" i="1" a="1"/>
  <c r="I83" i="1" a="1"/>
  <c r="P82" i="1" a="1"/>
  <c r="J31" i="3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71" i="1" a="1"/>
  <c r="E70" i="1" a="1"/>
  <c r="E67" i="1" a="1"/>
  <c r="E68" i="1" a="1"/>
  <c r="E69" i="1" a="1"/>
  <c r="E68" i="1" l="1"/>
  <c r="E67" i="1"/>
  <c r="E69" i="1"/>
  <c r="E71" i="1"/>
  <c r="E70" i="1"/>
  <c r="C62" i="1" a="1"/>
  <c r="C62" i="1" l="1"/>
  <c r="C8" i="1" s="1"/>
  <c r="C4" i="1" a="1"/>
  <c r="C4" i="1" l="1"/>
  <c r="C33" i="8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3" i="3" a="1"/>
  <c r="AK52" i="3" a="1"/>
  <c r="AK56" i="3" a="1"/>
  <c r="AK51" i="3" a="1"/>
  <c r="AK54" i="3" a="1"/>
  <c r="AK55" i="3" a="1"/>
  <c r="AK51" i="3" l="1"/>
  <c r="AK56" i="3"/>
  <c r="AK55" i="3"/>
  <c r="AK53" i="3"/>
  <c r="AK52" i="3"/>
  <c r="AK54" i="3"/>
  <c r="AD24" i="3" a="1"/>
  <c r="AD24" i="3" l="1"/>
  <c r="H16" i="3" s="1"/>
  <c r="C6" i="3" a="1"/>
  <c r="C6" i="3" l="1"/>
  <c r="C34" i="8"/>
  <c r="B10" i="8" a="1"/>
  <c r="B10" i="8" l="1"/>
  <c r="D46" i="26" a="1"/>
  <c r="AZ37" i="3" a="1"/>
  <c r="BA37" i="3" a="1"/>
  <c r="BP41" i="3" a="1"/>
  <c r="BQ41" i="3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39" i="3"/>
  <c r="BA40" i="3"/>
  <c r="BA38" i="3"/>
  <c r="BA42" i="3"/>
  <c r="BA44" i="3"/>
  <c r="BA43" i="3"/>
  <c r="BA41" i="3"/>
  <c r="BA37" i="3"/>
  <c r="AZ37" i="3"/>
  <c r="AZ38" i="3"/>
  <c r="AZ40" i="3"/>
  <c r="AZ42" i="3"/>
  <c r="AZ39" i="3"/>
  <c r="AZ43" i="3"/>
  <c r="AZ44" i="3"/>
  <c r="AZ41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54" i="3"/>
  <c r="AY53" i="3"/>
  <c r="AY51" i="3"/>
  <c r="AY52" i="3" a="1"/>
  <c r="AY52" i="3" s="1"/>
  <c r="AY55" i="3"/>
  <c r="AY56" i="3"/>
  <c r="BQ82" i="3" a="1"/>
  <c r="BQ81" i="3" a="1"/>
  <c r="BA51" i="3" a="1"/>
  <c r="BA52" i="3" a="1"/>
  <c r="BQ78" i="3" a="1"/>
  <c r="BA55" i="3" a="1"/>
  <c r="BA56" i="3" a="1"/>
  <c r="BQ80" i="3" a="1"/>
  <c r="BQ79" i="3" a="1"/>
  <c r="BQ77" i="3" a="1"/>
  <c r="BA53" i="3" a="1"/>
  <c r="BA54" i="3" a="1"/>
  <c r="BQ79" i="3" l="1"/>
  <c r="BQ80" i="3"/>
  <c r="BA56" i="3"/>
  <c r="BA55" i="3"/>
  <c r="BQ78" i="3"/>
  <c r="BA52" i="3"/>
  <c r="BA51" i="3"/>
  <c r="BA54" i="3"/>
  <c r="BA53" i="3"/>
  <c r="BQ81" i="3"/>
  <c r="BQ82" i="3"/>
  <c r="BQ77" i="3"/>
  <c r="AT24" i="3" a="1"/>
  <c r="AT2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<sst xmlns="http://schemas.openxmlformats.org/spreadsheetml/2006/main" count="4883" uniqueCount="713">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</sst>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2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/>
    <xf numFmtId="0" fontId="26" fillId="0" borderId="1" applyNumberFormat="0" applyFill="0" applyAlignment="0" applyProtection="0"/>
    <xf numFmtId="0" fontId="40" fillId="0" borderId="83" applyNumberFormat="0" applyFill="0" applyAlignment="0" applyProtection="0"/>
    <xf numFmtId="0" fontId="41" fillId="0" borderId="8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73" fillId="0" borderId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4" fillId="28" borderId="0" applyNumberFormat="0" applyBorder="0" applyProtection="0">
      <alignment horizontal="center"/>
    </xf>
    <xf numFmtId="0" fontId="74" fillId="29" borderId="0" applyNumberFormat="0" applyBorder="0" applyProtection="0">
      <alignment horizontal="center"/>
    </xf>
    <xf numFmtId="0" fontId="74" fillId="30" borderId="0" applyNumberFormat="0" applyBorder="0" applyProtection="0">
      <alignment horizontal="center"/>
    </xf>
    <xf numFmtId="0" fontId="74" fillId="31" borderId="0" applyNumberFormat="0" applyBorder="0" applyProtection="0">
      <alignment horizontal="center"/>
    </xf>
    <xf numFmtId="0" fontId="74" fillId="32" borderId="0" applyNumberFormat="0" applyBorder="0" applyProtection="0">
      <alignment horizontal="center"/>
    </xf>
    <xf numFmtId="0" fontId="74" fillId="33" borderId="0" applyNumberFormat="0" applyBorder="0" applyProtection="0">
      <alignment horizontal="center"/>
    </xf>
    <xf numFmtId="0" fontId="74" fillId="34" borderId="0" applyNumberFormat="0" applyBorder="0" applyProtection="0">
      <alignment horizontal="center"/>
    </xf>
    <xf numFmtId="0" fontId="74" fillId="35" borderId="0" applyNumberFormat="0" applyBorder="0" applyProtection="0">
      <alignment horizontal="center"/>
    </xf>
    <xf numFmtId="0" fontId="74" fillId="36" borderId="0" applyNumberFormat="0" applyBorder="0" applyProtection="0">
      <alignment horizontal="center"/>
    </xf>
    <xf numFmtId="0" fontId="74" fillId="37" borderId="0" applyNumberFormat="0" applyBorder="0" applyProtection="0">
      <alignment horizontal="center"/>
    </xf>
    <xf numFmtId="0" fontId="74" fillId="38" borderId="0" applyNumberFormat="0" applyBorder="0" applyProtection="0">
      <alignment horizontal="center"/>
    </xf>
    <xf numFmtId="0" fontId="74" fillId="39" borderId="0" applyNumberFormat="0" applyBorder="0" applyProtection="0">
      <alignment horizontal="center"/>
    </xf>
    <xf numFmtId="0" fontId="74" fillId="16" borderId="0" applyNumberFormat="0" applyBorder="0" applyProtection="0">
      <alignment horizontal="center"/>
    </xf>
    <xf numFmtId="0" fontId="74" fillId="18" borderId="0" applyNumberFormat="0" applyBorder="0" applyProtection="0">
      <alignment horizontal="center"/>
    </xf>
    <xf numFmtId="0" fontId="74" fillId="20" borderId="0" applyNumberFormat="0" applyBorder="0" applyProtection="0">
      <alignment horizontal="center"/>
    </xf>
    <xf numFmtId="0" fontId="74" fillId="22" borderId="0" applyNumberFormat="0" applyBorder="0" applyProtection="0">
      <alignment horizontal="center"/>
    </xf>
    <xf numFmtId="0" fontId="74" fillId="24" borderId="0" applyNumberFormat="0" applyBorder="0" applyProtection="0">
      <alignment horizontal="center"/>
    </xf>
    <xf numFmtId="0" fontId="74" fillId="26" borderId="0" applyNumberFormat="0" applyBorder="0" applyProtection="0">
      <alignment horizontal="center"/>
    </xf>
    <xf numFmtId="0" fontId="75" fillId="11" borderId="0" applyNumberFormat="0" applyBorder="0" applyAlignment="0" applyProtection="0"/>
    <xf numFmtId="0" fontId="76" fillId="14" borderId="170" applyNumberFormat="0" applyAlignment="0" applyProtection="0"/>
    <xf numFmtId="0" fontId="74" fillId="15" borderId="173" applyNumberFormat="0" applyAlignment="0" applyProtection="0"/>
    <xf numFmtId="43" fontId="48" fillId="0" borderId="0" applyFont="0" applyFill="0" applyBorder="0" applyAlignment="0" applyProtection="0"/>
    <xf numFmtId="165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10" borderId="0" applyNumberFormat="0" applyBorder="0" applyAlignment="0" applyProtection="0"/>
    <xf numFmtId="0" fontId="79" fillId="0" borderId="0" applyNumberFormat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13" borderId="170" applyNumberFormat="0" applyAlignment="0" applyProtection="0"/>
    <xf numFmtId="0" fontId="88" fillId="0" borderId="172" applyNumberFormat="0" applyFill="0" applyAlignment="0" applyProtection="0"/>
    <xf numFmtId="0" fontId="89" fillId="12" borderId="0" applyNumberFormat="0" applyBorder="0" applyAlignment="0" applyProtection="0"/>
    <xf numFmtId="0" fontId="90" fillId="14" borderId="171" applyNumberFormat="0" applyAlignment="0" applyProtection="0"/>
    <xf numFmtId="10" fontId="37" fillId="0" borderId="0" applyFont="0" applyFill="0" applyBorder="0" applyAlignment="0" applyProtection="0"/>
    <xf numFmtId="0" fontId="91" fillId="0" borderId="0" applyNumberFormat="0" applyFill="0" applyBorder="0" applyProtection="0">
      <alignment horizontal="center"/>
    </xf>
    <xf numFmtId="0" fontId="92" fillId="0" borderId="0" applyNumberFormat="0" applyFill="0" applyBorder="0" applyAlignment="0" applyProtection="0"/>
    <xf numFmtId="0" fontId="84" fillId="0" borderId="174" applyNumberFormat="0" applyFill="0" applyAlignment="0" applyProtection="0"/>
    <xf numFmtId="0" fontId="93" fillId="0" borderId="0" applyNumberFormat="0" applyFill="0" applyBorder="0" applyAlignment="0" applyProtection="0"/>
    <xf numFmtId="0" fontId="47" fillId="0" borderId="0"/>
    <xf numFmtId="0" fontId="94" fillId="12" borderId="0" applyNumberFormat="0" applyBorder="0" applyAlignment="0" applyProtection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</cellStyleXfs>
  <cellXfs count="966">
    <xf numFmtId="0" fontId="0" fillId="0" borderId="0" xfId="0"/>
    <xf numFmtId="14" fontId="0" fillId="0" borderId="0" xfId="0" applyNumberFormat="1"/>
    <xf numFmtId="0" fontId="26" fillId="0" borderId="1" xfId="1"/>
    <xf numFmtId="0" fontId="40" fillId="0" borderId="83" xfId="2"/>
    <xf numFmtId="0" fontId="41" fillId="0" borderId="84" xfId="3"/>
    <xf numFmtId="166" fontId="0" fillId="0" borderId="0" xfId="0" applyNumberFormat="1"/>
    <xf numFmtId="167" fontId="0" fillId="0" borderId="0" xfId="0" applyNumberFormat="1"/>
    <xf numFmtId="0" fontId="27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right" vertical="center"/>
    </xf>
    <xf numFmtId="4" fontId="28" fillId="0" borderId="11" xfId="0" applyNumberFormat="1" applyFont="1" applyBorder="1" applyAlignment="1">
      <alignment horizontal="right" vertical="center"/>
    </xf>
    <xf numFmtId="4" fontId="28" fillId="0" borderId="13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9" fontId="28" fillId="0" borderId="10" xfId="0" applyNumberFormat="1" applyFont="1" applyBorder="1" applyAlignment="1">
      <alignment horizontal="right" vertical="center"/>
    </xf>
    <xf numFmtId="169" fontId="28" fillId="0" borderId="12" xfId="0" applyNumberFormat="1" applyFont="1" applyBorder="1" applyAlignment="1">
      <alignment horizontal="right" vertical="center"/>
    </xf>
    <xf numFmtId="169" fontId="28" fillId="0" borderId="14" xfId="0" applyNumberFormat="1" applyFont="1" applyBorder="1" applyAlignment="1">
      <alignment horizontal="right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9" fillId="3" borderId="6" xfId="0" applyFont="1" applyFill="1" applyBorder="1" applyAlignment="1">
      <alignment horizontal="centerContinuous" vertical="center"/>
    </xf>
    <xf numFmtId="4" fontId="28" fillId="0" borderId="15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right" vertical="center"/>
    </xf>
    <xf numFmtId="4" fontId="28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0" fontId="29" fillId="3" borderId="18" xfId="0" applyFont="1" applyFill="1" applyBorder="1" applyAlignment="1">
      <alignment horizontal="centerContinuous" vertical="center"/>
    </xf>
    <xf numFmtId="0" fontId="29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9" fillId="3" borderId="0" xfId="0" applyFont="1" applyFill="1" applyBorder="1" applyAlignment="1">
      <alignment horizontal="centerContinuous" vertical="center"/>
    </xf>
    <xf numFmtId="0" fontId="28" fillId="0" borderId="0" xfId="0" applyFont="1"/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168" fontId="28" fillId="0" borderId="0" xfId="0" applyNumberFormat="1" applyFont="1"/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0" fontId="29" fillId="3" borderId="23" xfId="0" applyFont="1" applyFill="1" applyBorder="1" applyAlignment="1">
      <alignment horizontal="centerContinuous" vertical="center"/>
    </xf>
    <xf numFmtId="0" fontId="29" fillId="3" borderId="24" xfId="0" applyFont="1" applyFill="1" applyBorder="1" applyAlignment="1">
      <alignment horizontal="centerContinuous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4" fontId="28" fillId="0" borderId="0" xfId="0" applyNumberFormat="1" applyFont="1"/>
    <xf numFmtId="0" fontId="0" fillId="0" borderId="0" xfId="0" applyBorder="1"/>
    <xf numFmtId="0" fontId="31" fillId="0" borderId="3" xfId="0" applyFont="1" applyBorder="1" applyAlignment="1">
      <alignment horizontal="centerContinuous"/>
    </xf>
    <xf numFmtId="0" fontId="30" fillId="2" borderId="0" xfId="0" applyFont="1" applyFill="1" applyAlignment="1">
      <alignment horizontal="centerContinuous" vertical="center"/>
    </xf>
    <xf numFmtId="0" fontId="33" fillId="0" borderId="0" xfId="0" applyFont="1"/>
    <xf numFmtId="0" fontId="34" fillId="0" borderId="0" xfId="0" applyFont="1"/>
    <xf numFmtId="4" fontId="28" fillId="0" borderId="10" xfId="0" applyNumberFormat="1" applyFont="1" applyBorder="1" applyAlignment="1">
      <alignment horizontal="right" vertical="center"/>
    </xf>
    <xf numFmtId="4" fontId="28" fillId="0" borderId="12" xfId="0" applyNumberFormat="1" applyFont="1" applyBorder="1" applyAlignment="1">
      <alignment horizontal="right" vertical="center"/>
    </xf>
    <xf numFmtId="4" fontId="28" fillId="0" borderId="14" xfId="0" applyNumberFormat="1" applyFont="1" applyBorder="1" applyAlignment="1">
      <alignment horizontal="right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29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0" fontId="26" fillId="0" borderId="1" xfId="1" applyFont="1"/>
    <xf numFmtId="9" fontId="28" fillId="0" borderId="34" xfId="0" applyNumberFormat="1" applyFont="1" applyBorder="1" applyAlignment="1">
      <alignment horizontal="right"/>
    </xf>
    <xf numFmtId="9" fontId="28" fillId="0" borderId="36" xfId="0" applyNumberFormat="1" applyFont="1" applyBorder="1" applyAlignment="1">
      <alignment horizontal="right"/>
    </xf>
    <xf numFmtId="168" fontId="28" fillId="0" borderId="31" xfId="0" applyNumberFormat="1" applyFont="1" applyBorder="1"/>
    <xf numFmtId="168" fontId="28" fillId="0" borderId="33" xfId="0" applyNumberFormat="1" applyFont="1" applyBorder="1"/>
    <xf numFmtId="168" fontId="28" fillId="0" borderId="37" xfId="0" applyNumberFormat="1" applyFont="1" applyBorder="1"/>
    <xf numFmtId="168" fontId="28" fillId="0" borderId="38" xfId="0" applyNumberFormat="1" applyFont="1" applyBorder="1"/>
    <xf numFmtId="0" fontId="0" fillId="0" borderId="38" xfId="0" applyBorder="1"/>
    <xf numFmtId="9" fontId="28" fillId="0" borderId="38" xfId="0" applyNumberFormat="1" applyFont="1" applyBorder="1" applyAlignment="1">
      <alignment horizontal="right"/>
    </xf>
    <xf numFmtId="9" fontId="28" fillId="0" borderId="39" xfId="0" applyNumberFormat="1" applyFont="1" applyBorder="1" applyAlignment="1">
      <alignment horizontal="right"/>
    </xf>
    <xf numFmtId="0" fontId="34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4" fillId="0" borderId="44" xfId="0" applyFont="1" applyBorder="1"/>
    <xf numFmtId="0" fontId="0" fillId="0" borderId="45" xfId="0" applyBorder="1"/>
    <xf numFmtId="4" fontId="36" fillId="5" borderId="0" xfId="0" applyNumberFormat="1" applyFont="1" applyFill="1" applyBorder="1" applyAlignment="1">
      <alignment horizontal="left" vertical="center"/>
    </xf>
    <xf numFmtId="0" fontId="29" fillId="4" borderId="46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168" fontId="28" fillId="0" borderId="32" xfId="0" applyNumberFormat="1" applyFont="1" applyBorder="1"/>
    <xf numFmtId="168" fontId="28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8" fillId="0" borderId="33" xfId="0" applyNumberFormat="1" applyFont="1" applyBorder="1" applyAlignment="1">
      <alignment horizontal="right"/>
    </xf>
    <xf numFmtId="9" fontId="28" fillId="0" borderId="35" xfId="0" applyNumberFormat="1" applyFont="1" applyBorder="1" applyAlignment="1">
      <alignment horizontal="right"/>
    </xf>
    <xf numFmtId="171" fontId="37" fillId="0" borderId="15" xfId="0" applyNumberFormat="1" applyFont="1" applyBorder="1" applyAlignment="1">
      <alignment horizontal="right" vertical="center"/>
    </xf>
    <xf numFmtId="171" fontId="37" fillId="0" borderId="16" xfId="0" applyNumberFormat="1" applyFont="1" applyBorder="1" applyAlignment="1">
      <alignment horizontal="right" vertical="center"/>
    </xf>
    <xf numFmtId="171" fontId="37" fillId="0" borderId="17" xfId="0" applyNumberFormat="1" applyFont="1" applyBorder="1" applyAlignment="1">
      <alignment horizontal="right" vertical="center"/>
    </xf>
    <xf numFmtId="172" fontId="37" fillId="0" borderId="15" xfId="0" applyNumberFormat="1" applyFont="1" applyBorder="1" applyAlignment="1">
      <alignment horizontal="right" vertical="center"/>
    </xf>
    <xf numFmtId="172" fontId="37" fillId="0" borderId="16" xfId="0" applyNumberFormat="1" applyFont="1" applyBorder="1" applyAlignment="1">
      <alignment horizontal="right" vertical="center"/>
    </xf>
    <xf numFmtId="172" fontId="37" fillId="0" borderId="17" xfId="0" applyNumberFormat="1" applyFont="1" applyBorder="1" applyAlignment="1">
      <alignment horizontal="right" vertical="center"/>
    </xf>
    <xf numFmtId="173" fontId="37" fillId="0" borderId="15" xfId="0" applyNumberFormat="1" applyFont="1" applyBorder="1" applyAlignment="1">
      <alignment horizontal="right" vertical="center"/>
    </xf>
    <xf numFmtId="173" fontId="37" fillId="0" borderId="16" xfId="0" applyNumberFormat="1" applyFont="1" applyBorder="1" applyAlignment="1">
      <alignment horizontal="right" vertical="center"/>
    </xf>
    <xf numFmtId="173" fontId="37" fillId="0" borderId="17" xfId="0" applyNumberFormat="1" applyFont="1" applyBorder="1" applyAlignment="1">
      <alignment horizontal="right" vertical="center"/>
    </xf>
    <xf numFmtId="174" fontId="37" fillId="0" borderId="15" xfId="0" applyNumberFormat="1" applyFont="1" applyBorder="1" applyAlignment="1">
      <alignment horizontal="right" vertical="center"/>
    </xf>
    <xf numFmtId="174" fontId="37" fillId="0" borderId="16" xfId="0" applyNumberFormat="1" applyFont="1" applyBorder="1" applyAlignment="1">
      <alignment horizontal="right" vertical="center"/>
    </xf>
    <xf numFmtId="174" fontId="37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5" fillId="0" borderId="15" xfId="0" applyNumberFormat="1" applyFont="1" applyBorder="1" applyAlignment="1">
      <alignment horizontal="right" vertical="center"/>
    </xf>
    <xf numFmtId="168" fontId="25" fillId="0" borderId="16" xfId="0" applyNumberFormat="1" applyFont="1" applyBorder="1" applyAlignment="1">
      <alignment horizontal="right" vertical="center"/>
    </xf>
    <xf numFmtId="168" fontId="25" fillId="0" borderId="17" xfId="0" applyNumberFormat="1" applyFont="1" applyBorder="1" applyAlignment="1">
      <alignment horizontal="right" vertical="center"/>
    </xf>
    <xf numFmtId="4" fontId="36" fillId="5" borderId="0" xfId="0" applyNumberFormat="1" applyFont="1" applyFill="1" applyBorder="1" applyAlignment="1">
      <alignment vertical="center"/>
    </xf>
    <xf numFmtId="3" fontId="36" fillId="5" borderId="0" xfId="0" applyNumberFormat="1" applyFont="1" applyFill="1" applyBorder="1" applyAlignment="1">
      <alignment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0" fontId="45" fillId="0" borderId="42" xfId="4" applyBorder="1" applyAlignment="1">
      <alignment horizontal="centerContinuous" vertical="center"/>
    </xf>
    <xf numFmtId="0" fontId="45" fillId="0" borderId="43" xfId="4" applyBorder="1" applyAlignment="1">
      <alignment horizontal="centerContinuous" vertical="center"/>
    </xf>
    <xf numFmtId="0" fontId="45" fillId="0" borderId="45" xfId="4" applyBorder="1" applyAlignment="1">
      <alignment horizontal="centerContinuous" vertical="center"/>
    </xf>
    <xf numFmtId="0" fontId="45" fillId="0" borderId="44" xfId="4" applyFill="1" applyBorder="1" applyAlignment="1">
      <alignment horizontal="centerContinuous"/>
    </xf>
    <xf numFmtId="0" fontId="45" fillId="0" borderId="45" xfId="4" applyFill="1" applyBorder="1" applyAlignment="1">
      <alignment horizontal="centerContinuous"/>
    </xf>
    <xf numFmtId="0" fontId="29" fillId="3" borderId="49" xfId="0" applyFont="1" applyFill="1" applyBorder="1" applyAlignment="1">
      <alignment horizontal="centerContinuous" vertical="center"/>
    </xf>
    <xf numFmtId="4" fontId="35" fillId="5" borderId="0" xfId="0" applyNumberFormat="1" applyFont="1" applyFill="1" applyBorder="1" applyAlignment="1">
      <alignment horizontal="left" vertical="center"/>
    </xf>
    <xf numFmtId="4" fontId="36" fillId="5" borderId="0" xfId="0" applyNumberFormat="1" applyFont="1" applyFill="1" applyBorder="1" applyAlignment="1">
      <alignment horizontal="left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30" xfId="0" applyNumberFormat="1" applyFont="1" applyFill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4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6" fillId="5" borderId="16" xfId="0" applyNumberFormat="1" applyFont="1" applyFill="1" applyBorder="1" applyAlignment="1">
      <alignment horizontal="right" vertical="center"/>
    </xf>
    <xf numFmtId="172" fontId="36" fillId="5" borderId="16" xfId="0" applyNumberFormat="1" applyFont="1" applyFill="1" applyBorder="1" applyAlignment="1">
      <alignment horizontal="right" vertical="center"/>
    </xf>
    <xf numFmtId="173" fontId="36" fillId="5" borderId="16" xfId="0" applyNumberFormat="1" applyFont="1" applyFill="1" applyBorder="1" applyAlignment="1">
      <alignment horizontal="right" vertical="center"/>
    </xf>
    <xf numFmtId="174" fontId="36" fillId="5" borderId="16" xfId="0" applyNumberFormat="1" applyFont="1" applyFill="1" applyBorder="1" applyAlignment="1">
      <alignment horizontal="right" vertical="center"/>
    </xf>
    <xf numFmtId="10" fontId="36" fillId="5" borderId="16" xfId="0" applyNumberFormat="1" applyFont="1" applyFill="1" applyBorder="1" applyAlignment="1">
      <alignment horizontal="right" vertical="center"/>
    </xf>
    <xf numFmtId="10" fontId="36" fillId="5" borderId="17" xfId="0" applyNumberFormat="1" applyFont="1" applyFill="1" applyBorder="1" applyAlignment="1">
      <alignment horizontal="right" vertical="center"/>
    </xf>
    <xf numFmtId="10" fontId="36" fillId="5" borderId="12" xfId="0" applyNumberFormat="1" applyFont="1" applyFill="1" applyBorder="1" applyAlignment="1">
      <alignment horizontal="right" vertical="center"/>
    </xf>
    <xf numFmtId="10" fontId="36" fillId="5" borderId="14" xfId="0" applyNumberFormat="1" applyFont="1" applyFill="1" applyBorder="1" applyAlignment="1">
      <alignment horizontal="right" vertical="center"/>
    </xf>
    <xf numFmtId="168" fontId="36" fillId="5" borderId="9" xfId="0" applyNumberFormat="1" applyFont="1" applyFill="1" applyBorder="1" applyAlignment="1">
      <alignment horizontal="right" vertical="center"/>
    </xf>
    <xf numFmtId="168" fontId="36" fillId="5" borderId="11" xfId="0" applyNumberFormat="1" applyFont="1" applyFill="1" applyBorder="1" applyAlignment="1">
      <alignment horizontal="right" vertical="center"/>
    </xf>
    <xf numFmtId="168" fontId="36" fillId="5" borderId="15" xfId="0" applyNumberFormat="1" applyFont="1" applyFill="1" applyBorder="1" applyAlignment="1">
      <alignment horizontal="right" vertical="center"/>
    </xf>
    <xf numFmtId="168" fontId="36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8" fillId="4" borderId="52" xfId="0" applyNumberFormat="1" applyFont="1" applyFill="1" applyBorder="1" applyAlignment="1">
      <alignment horizontal="center" vertical="center"/>
    </xf>
    <xf numFmtId="4" fontId="38" fillId="4" borderId="53" xfId="0" applyNumberFormat="1" applyFont="1" applyFill="1" applyBorder="1" applyAlignment="1">
      <alignment horizontal="center" vertical="center"/>
    </xf>
    <xf numFmtId="4" fontId="38" fillId="4" borderId="54" xfId="0" applyNumberFormat="1" applyFont="1" applyFill="1" applyBorder="1" applyAlignment="1">
      <alignment horizontal="center" vertical="center"/>
    </xf>
    <xf numFmtId="171" fontId="36" fillId="5" borderId="11" xfId="0" applyNumberFormat="1" applyFont="1" applyFill="1" applyBorder="1" applyAlignment="1">
      <alignment horizontal="right" vertical="center"/>
    </xf>
    <xf numFmtId="171" fontId="36" fillId="5" borderId="12" xfId="0" applyNumberFormat="1" applyFont="1" applyFill="1" applyBorder="1" applyAlignment="1">
      <alignment horizontal="right" vertical="center"/>
    </xf>
    <xf numFmtId="172" fontId="36" fillId="5" borderId="11" xfId="0" applyNumberFormat="1" applyFont="1" applyFill="1" applyBorder="1" applyAlignment="1">
      <alignment horizontal="right" vertical="center"/>
    </xf>
    <xf numFmtId="172" fontId="36" fillId="5" borderId="12" xfId="0" applyNumberFormat="1" applyFont="1" applyFill="1" applyBorder="1" applyAlignment="1">
      <alignment horizontal="right" vertical="center"/>
    </xf>
    <xf numFmtId="173" fontId="36" fillId="5" borderId="11" xfId="0" applyNumberFormat="1" applyFont="1" applyFill="1" applyBorder="1" applyAlignment="1">
      <alignment horizontal="right" vertical="center"/>
    </xf>
    <xf numFmtId="173" fontId="36" fillId="5" borderId="12" xfId="0" applyNumberFormat="1" applyFont="1" applyFill="1" applyBorder="1" applyAlignment="1">
      <alignment horizontal="right" vertical="center"/>
    </xf>
    <xf numFmtId="174" fontId="36" fillId="5" borderId="11" xfId="0" applyNumberFormat="1" applyFont="1" applyFill="1" applyBorder="1" applyAlignment="1">
      <alignment horizontal="right" vertical="center"/>
    </xf>
    <xf numFmtId="174" fontId="36" fillId="5" borderId="12" xfId="0" applyNumberFormat="1" applyFont="1" applyFill="1" applyBorder="1" applyAlignment="1">
      <alignment horizontal="right" vertical="center"/>
    </xf>
    <xf numFmtId="10" fontId="36" fillId="5" borderId="11" xfId="0" applyNumberFormat="1" applyFont="1" applyFill="1" applyBorder="1" applyAlignment="1">
      <alignment horizontal="right" vertical="center"/>
    </xf>
    <xf numFmtId="10" fontId="36" fillId="5" borderId="13" xfId="0" applyNumberFormat="1" applyFont="1" applyFill="1" applyBorder="1" applyAlignment="1">
      <alignment horizontal="right" vertical="center"/>
    </xf>
    <xf numFmtId="168" fontId="36" fillId="5" borderId="10" xfId="0" applyNumberFormat="1" applyFont="1" applyFill="1" applyBorder="1" applyAlignment="1">
      <alignment horizontal="right" vertical="center"/>
    </xf>
    <xf numFmtId="168" fontId="36" fillId="5" borderId="12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9" fontId="28" fillId="6" borderId="16" xfId="0" applyNumberFormat="1" applyFont="1" applyFill="1" applyBorder="1" applyAlignment="1">
      <alignment horizontal="right" vertical="center"/>
    </xf>
    <xf numFmtId="169" fontId="28" fillId="0" borderId="15" xfId="0" applyNumberFormat="1" applyFont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0" fontId="45" fillId="8" borderId="0" xfId="4" applyFill="1" applyBorder="1" applyAlignment="1">
      <alignment horizontal="centerContinuous" vertical="center"/>
    </xf>
    <xf numFmtId="0" fontId="29" fillId="3" borderId="56" xfId="0" applyFont="1" applyFill="1" applyBorder="1" applyAlignment="1">
      <alignment horizontal="centerContinuous" vertical="center"/>
    </xf>
    <xf numFmtId="0" fontId="39" fillId="3" borderId="57" xfId="0" applyFont="1" applyFill="1" applyBorder="1" applyAlignment="1">
      <alignment horizontal="center" vertical="center"/>
    </xf>
    <xf numFmtId="0" fontId="29" fillId="3" borderId="58" xfId="0" applyFont="1" applyFill="1" applyBorder="1" applyAlignment="1">
      <alignment horizontal="centerContinuous" vertical="center"/>
    </xf>
    <xf numFmtId="0" fontId="29" fillId="3" borderId="45" xfId="0" applyFont="1" applyFill="1" applyBorder="1" applyAlignment="1">
      <alignment horizontal="centerContinuous" vertical="center"/>
    </xf>
    <xf numFmtId="4" fontId="37" fillId="0" borderId="17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6" fillId="5" borderId="15" xfId="0" applyNumberFormat="1" applyFont="1" applyFill="1" applyBorder="1" applyAlignment="1">
      <alignment horizontal="center" vertical="center"/>
    </xf>
    <xf numFmtId="4" fontId="36" fillId="5" borderId="10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" vertical="center"/>
    </xf>
    <xf numFmtId="4" fontId="36" fillId="5" borderId="17" xfId="0" applyNumberFormat="1" applyFont="1" applyFill="1" applyBorder="1" applyAlignment="1">
      <alignment horizontal="center" vertical="center"/>
    </xf>
    <xf numFmtId="4" fontId="36" fillId="5" borderId="14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Continuous" vertical="center"/>
    </xf>
    <xf numFmtId="0" fontId="39" fillId="3" borderId="18" xfId="0" applyFont="1" applyFill="1" applyBorder="1" applyAlignment="1">
      <alignment horizontal="centerContinuous" vertical="center"/>
    </xf>
    <xf numFmtId="0" fontId="39" fillId="3" borderId="19" xfId="0" applyFont="1" applyFill="1" applyBorder="1" applyAlignment="1">
      <alignment horizontal="centerContinuous" vertical="center"/>
    </xf>
    <xf numFmtId="0" fontId="45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31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2" fillId="0" borderId="0" xfId="0" applyFont="1"/>
    <xf numFmtId="0" fontId="21" fillId="0" borderId="0" xfId="0" applyFont="1"/>
    <xf numFmtId="168" fontId="21" fillId="0" borderId="0" xfId="0" applyNumberFormat="1" applyFont="1" applyAlignment="1">
      <alignment horizontal="right"/>
    </xf>
    <xf numFmtId="168" fontId="20" fillId="0" borderId="0" xfId="0" applyNumberFormat="1" applyFont="1" applyAlignment="1">
      <alignment horizontal="right"/>
    </xf>
    <xf numFmtId="0" fontId="19" fillId="0" borderId="0" xfId="0" applyFont="1"/>
    <xf numFmtId="168" fontId="19" fillId="0" borderId="0" xfId="0" applyNumberFormat="1" applyFont="1" applyAlignment="1">
      <alignment horizontal="right"/>
    </xf>
    <xf numFmtId="4" fontId="18" fillId="0" borderId="9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20" xfId="0" applyNumberFormat="1" applyFont="1" applyBorder="1" applyAlignment="1">
      <alignment horizontal="center" vertical="center"/>
    </xf>
    <xf numFmtId="4" fontId="18" fillId="0" borderId="22" xfId="0" applyNumberFormat="1" applyFont="1" applyBorder="1" applyAlignment="1">
      <alignment horizontal="center" vertical="center"/>
    </xf>
    <xf numFmtId="10" fontId="18" fillId="0" borderId="21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0" fontId="38" fillId="3" borderId="4" xfId="2" applyFont="1" applyFill="1" applyBorder="1" applyAlignment="1">
      <alignment horizontal="centerContinuous" vertical="center"/>
    </xf>
    <xf numFmtId="0" fontId="38" fillId="3" borderId="6" xfId="2" applyFont="1" applyFill="1" applyBorder="1" applyAlignment="1">
      <alignment horizontal="centerContinuous" vertical="center"/>
    </xf>
    <xf numFmtId="0" fontId="38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9" fillId="4" borderId="61" xfId="0" applyFont="1" applyFill="1" applyBorder="1" applyAlignment="1">
      <alignment horizontal="centerContinuous" vertical="center"/>
    </xf>
    <xf numFmtId="0" fontId="29" fillId="4" borderId="62" xfId="0" applyFont="1" applyFill="1" applyBorder="1" applyAlignment="1">
      <alignment horizontal="centerContinuous" vertical="center"/>
    </xf>
    <xf numFmtId="0" fontId="29" fillId="4" borderId="63" xfId="0" applyFont="1" applyFill="1" applyBorder="1" applyAlignment="1">
      <alignment horizontal="centerContinuous" vertical="center"/>
    </xf>
    <xf numFmtId="169" fontId="18" fillId="0" borderId="15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8" fontId="18" fillId="0" borderId="12" xfId="0" applyNumberFormat="1" applyFont="1" applyBorder="1" applyAlignment="1">
      <alignment horizontal="center" vertical="center"/>
    </xf>
    <xf numFmtId="10" fontId="17" fillId="0" borderId="16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10" fontId="18" fillId="0" borderId="65" xfId="0" applyNumberFormat="1" applyFont="1" applyBorder="1" applyAlignment="1">
      <alignment horizontal="right" vertical="center"/>
    </xf>
    <xf numFmtId="4" fontId="18" fillId="0" borderId="66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8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10" fontId="18" fillId="0" borderId="70" xfId="0" applyNumberFormat="1" applyFont="1" applyBorder="1" applyAlignment="1">
      <alignment horizontal="right" vertical="center"/>
    </xf>
    <xf numFmtId="4" fontId="18" fillId="0" borderId="7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31" fillId="0" borderId="3" xfId="0" quotePrefix="1" applyFont="1" applyBorder="1" applyAlignment="1">
      <alignment horizontal="centerContinuous" vertical="center"/>
    </xf>
    <xf numFmtId="4" fontId="15" fillId="0" borderId="14" xfId="0" applyNumberFormat="1" applyFont="1" applyBorder="1" applyAlignment="1">
      <alignment horizontal="center" vertical="center"/>
    </xf>
    <xf numFmtId="4" fontId="15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5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3" fillId="0" borderId="15" xfId="0" applyNumberFormat="1" applyFont="1" applyBorder="1" applyAlignment="1">
      <alignment horizontal="right" vertical="center"/>
    </xf>
    <xf numFmtId="170" fontId="23" fillId="0" borderId="16" xfId="0" applyNumberFormat="1" applyFont="1" applyBorder="1" applyAlignment="1">
      <alignment horizontal="right" vertical="center"/>
    </xf>
    <xf numFmtId="170" fontId="23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7" fillId="0" borderId="16" xfId="0" applyNumberFormat="1" applyFont="1" applyBorder="1" applyAlignment="1">
      <alignment horizontal="center" vertical="center"/>
    </xf>
    <xf numFmtId="4" fontId="37" fillId="0" borderId="55" xfId="0" applyNumberFormat="1" applyFont="1" applyBorder="1" applyAlignment="1">
      <alignment horizontal="center" vertical="center"/>
    </xf>
    <xf numFmtId="4" fontId="37" fillId="0" borderId="75" xfId="0" applyNumberFormat="1" applyFont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4" fontId="37" fillId="0" borderId="76" xfId="0" applyNumberFormat="1" applyFont="1" applyBorder="1" applyAlignment="1">
      <alignment horizontal="center" vertical="center"/>
    </xf>
    <xf numFmtId="4" fontId="37" fillId="0" borderId="77" xfId="0" applyNumberFormat="1" applyFont="1" applyBorder="1" applyAlignment="1">
      <alignment horizontal="center" vertical="center"/>
    </xf>
    <xf numFmtId="4" fontId="37" fillId="0" borderId="78" xfId="0" applyNumberFormat="1" applyFont="1" applyBorder="1" applyAlignment="1">
      <alignment horizontal="center" vertical="center"/>
    </xf>
    <xf numFmtId="0" fontId="38" fillId="4" borderId="72" xfId="0" applyFont="1" applyFill="1" applyBorder="1" applyAlignment="1">
      <alignment horizontal="center" vertical="center"/>
    </xf>
    <xf numFmtId="0" fontId="38" fillId="4" borderId="73" xfId="0" applyFont="1" applyFill="1" applyBorder="1" applyAlignment="1">
      <alignment horizontal="center" vertical="center"/>
    </xf>
    <xf numFmtId="0" fontId="38" fillId="4" borderId="74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4" fontId="38" fillId="4" borderId="74" xfId="0" applyNumberFormat="1" applyFont="1" applyFill="1" applyBorder="1" applyAlignment="1">
      <alignment horizontal="center" vertical="center"/>
    </xf>
    <xf numFmtId="4" fontId="36" fillId="5" borderId="0" xfId="0" quotePrefix="1" applyNumberFormat="1" applyFont="1" applyFill="1" applyBorder="1" applyAlignment="1">
      <alignment horizontal="left" vertical="center"/>
    </xf>
    <xf numFmtId="4" fontId="38" fillId="3" borderId="4" xfId="0" applyNumberFormat="1" applyFont="1" applyFill="1" applyBorder="1" applyAlignment="1">
      <alignment horizontal="centerContinuous" vertical="center"/>
    </xf>
    <xf numFmtId="4" fontId="38" fillId="3" borderId="6" xfId="0" applyNumberFormat="1" applyFont="1" applyFill="1" applyBorder="1" applyAlignment="1">
      <alignment horizontal="centerContinuous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37" fillId="0" borderId="0" xfId="0" applyFont="1"/>
    <xf numFmtId="168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0" fontId="29" fillId="4" borderId="79" xfId="0" applyFont="1" applyFill="1" applyBorder="1" applyAlignment="1">
      <alignment horizontal="center" vertical="center"/>
    </xf>
    <xf numFmtId="4" fontId="37" fillId="0" borderId="61" xfId="0" applyNumberFormat="1" applyFont="1" applyBorder="1" applyAlignment="1">
      <alignment horizontal="center" vertical="center"/>
    </xf>
    <xf numFmtId="168" fontId="37" fillId="0" borderId="63" xfId="0" applyNumberFormat="1" applyFont="1" applyBorder="1" applyAlignment="1">
      <alignment horizontal="center" vertical="center"/>
    </xf>
    <xf numFmtId="0" fontId="43" fillId="0" borderId="1" xfId="1" applyFont="1"/>
    <xf numFmtId="0" fontId="44" fillId="0" borderId="83" xfId="2" applyFont="1"/>
    <xf numFmtId="0" fontId="44" fillId="0" borderId="84" xfId="3" applyFont="1"/>
    <xf numFmtId="168" fontId="37" fillId="0" borderId="44" xfId="0" applyNumberFormat="1" applyFont="1" applyBorder="1" applyAlignment="1">
      <alignment horizontal="center"/>
    </xf>
    <xf numFmtId="168" fontId="37" fillId="0" borderId="82" xfId="0" applyNumberFormat="1" applyFont="1" applyBorder="1" applyAlignment="1">
      <alignment horizontal="center"/>
    </xf>
    <xf numFmtId="0" fontId="37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7" fillId="0" borderId="12" xfId="0" applyNumberFormat="1" applyFont="1" applyBorder="1" applyAlignment="1">
      <alignment horizontal="center" vertical="center"/>
    </xf>
    <xf numFmtId="168" fontId="37" fillId="0" borderId="9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168" fontId="37" fillId="0" borderId="11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/>
    </xf>
    <xf numFmtId="168" fontId="37" fillId="0" borderId="13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horizontal="center" vertical="center"/>
    </xf>
    <xf numFmtId="4" fontId="37" fillId="0" borderId="15" xfId="0" applyNumberFormat="1" applyFont="1" applyBorder="1" applyAlignment="1">
      <alignment horizontal="center" vertical="center"/>
    </xf>
    <xf numFmtId="168" fontId="37" fillId="0" borderId="14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168" fontId="38" fillId="4" borderId="29" xfId="0" applyNumberFormat="1" applyFont="1" applyFill="1" applyBorder="1" applyAlignment="1">
      <alignment horizontal="center" vertical="center"/>
    </xf>
    <xf numFmtId="4" fontId="37" fillId="0" borderId="8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"/>
    </xf>
    <xf numFmtId="2" fontId="37" fillId="0" borderId="82" xfId="0" applyNumberFormat="1" applyFont="1" applyBorder="1" applyAlignment="1">
      <alignment horizontal="center"/>
    </xf>
    <xf numFmtId="4" fontId="37" fillId="0" borderId="86" xfId="0" applyNumberFormat="1" applyFont="1" applyBorder="1" applyAlignment="1">
      <alignment horizontal="center" vertical="center"/>
    </xf>
    <xf numFmtId="4" fontId="37" fillId="0" borderId="71" xfId="0" applyNumberFormat="1" applyFont="1" applyBorder="1" applyAlignment="1">
      <alignment horizontal="center" vertical="center"/>
    </xf>
    <xf numFmtId="4" fontId="37" fillId="0" borderId="88" xfId="0" applyNumberFormat="1" applyFont="1" applyBorder="1" applyAlignment="1">
      <alignment horizontal="center" vertical="center"/>
    </xf>
    <xf numFmtId="4" fontId="37" fillId="0" borderId="87" xfId="0" applyNumberFormat="1" applyFont="1" applyBorder="1" applyAlignment="1">
      <alignment horizontal="center" vertical="center"/>
    </xf>
    <xf numFmtId="2" fontId="39" fillId="4" borderId="52" xfId="0" applyNumberFormat="1" applyFont="1" applyFill="1" applyBorder="1" applyAlignment="1">
      <alignment horizontal="center" vertical="center"/>
    </xf>
    <xf numFmtId="0" fontId="38" fillId="3" borderId="18" xfId="0" applyFont="1" applyFill="1" applyBorder="1" applyAlignment="1">
      <alignment horizontal="centerContinuous" vertical="center"/>
    </xf>
    <xf numFmtId="0" fontId="39" fillId="3" borderId="89" xfId="0" applyFont="1" applyFill="1" applyBorder="1" applyAlignment="1">
      <alignment horizontal="centerContinuous" vertical="center"/>
    </xf>
    <xf numFmtId="0" fontId="39" fillId="3" borderId="51" xfId="0" applyFont="1" applyFill="1" applyBorder="1" applyAlignment="1">
      <alignment horizontal="centerContinuous" vertical="center"/>
    </xf>
    <xf numFmtId="0" fontId="39" fillId="3" borderId="7" xfId="0" applyFont="1" applyFill="1" applyBorder="1" applyAlignment="1">
      <alignment horizontal="centerContinuous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7" fillId="0" borderId="22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38" fillId="3" borderId="0" xfId="0" applyFont="1" applyFill="1" applyBorder="1" applyAlignment="1">
      <alignment horizontal="centerContinuous" vertical="center"/>
    </xf>
    <xf numFmtId="0" fontId="38" fillId="4" borderId="90" xfId="0" applyFont="1" applyFill="1" applyBorder="1" applyAlignment="1">
      <alignment horizontal="center" vertical="center"/>
    </xf>
    <xf numFmtId="4" fontId="37" fillId="0" borderId="91" xfId="0" applyNumberFormat="1" applyFont="1" applyBorder="1" applyAlignment="1">
      <alignment horizontal="center" vertical="center"/>
    </xf>
    <xf numFmtId="2" fontId="39" fillId="4" borderId="28" xfId="0" applyNumberFormat="1" applyFont="1" applyFill="1" applyBorder="1" applyAlignment="1">
      <alignment horizontal="center" vertical="center"/>
    </xf>
    <xf numFmtId="2" fontId="39" fillId="4" borderId="29" xfId="0" applyNumberFormat="1" applyFont="1" applyFill="1" applyBorder="1" applyAlignment="1">
      <alignment horizontal="center" vertical="center"/>
    </xf>
    <xf numFmtId="2" fontId="39" fillId="4" borderId="30" xfId="0" applyNumberFormat="1" applyFont="1" applyFill="1" applyBorder="1" applyAlignment="1">
      <alignment horizontal="center" vertical="center"/>
    </xf>
    <xf numFmtId="2" fontId="37" fillId="0" borderId="31" xfId="0" applyNumberFormat="1" applyFont="1" applyBorder="1" applyAlignment="1">
      <alignment horizontal="center"/>
    </xf>
    <xf numFmtId="2" fontId="37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9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9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9" fillId="4" borderId="96" xfId="0" applyNumberFormat="1" applyFont="1" applyFill="1" applyBorder="1" applyAlignment="1">
      <alignment horizontal="center" vertical="center"/>
    </xf>
    <xf numFmtId="4" fontId="37" fillId="0" borderId="97" xfId="0" applyNumberFormat="1" applyFont="1" applyBorder="1" applyAlignment="1">
      <alignment horizontal="center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Continuous" vertical="center"/>
    </xf>
    <xf numFmtId="4" fontId="37" fillId="0" borderId="98" xfId="0" applyNumberFormat="1" applyFont="1" applyBorder="1" applyAlignment="1">
      <alignment horizontal="center" vertical="center"/>
    </xf>
    <xf numFmtId="4" fontId="37" fillId="0" borderId="99" xfId="0" applyNumberFormat="1" applyFont="1" applyBorder="1" applyAlignment="1">
      <alignment horizontal="center" vertical="center"/>
    </xf>
    <xf numFmtId="4" fontId="37" fillId="0" borderId="100" xfId="0" applyNumberFormat="1" applyFont="1" applyBorder="1" applyAlignment="1">
      <alignment horizontal="center" vertical="center"/>
    </xf>
    <xf numFmtId="4" fontId="37" fillId="0" borderId="101" xfId="0" applyNumberFormat="1" applyFont="1" applyBorder="1" applyAlignment="1">
      <alignment horizontal="center" vertical="center"/>
    </xf>
    <xf numFmtId="4" fontId="37" fillId="0" borderId="102" xfId="0" applyNumberFormat="1" applyFont="1" applyBorder="1" applyAlignment="1">
      <alignment horizontal="center" vertical="center"/>
    </xf>
    <xf numFmtId="4" fontId="37" fillId="0" borderId="103" xfId="0" applyNumberFormat="1" applyFont="1" applyBorder="1" applyAlignment="1">
      <alignment horizontal="center"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4" fontId="37" fillId="0" borderId="64" xfId="0" applyNumberFormat="1" applyFont="1" applyBorder="1" applyAlignment="1">
      <alignment horizontal="center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107" xfId="0" applyNumberFormat="1" applyFont="1" applyBorder="1" applyAlignment="1">
      <alignment horizontal="center" vertical="center"/>
    </xf>
    <xf numFmtId="4" fontId="37" fillId="0" borderId="108" xfId="0" applyNumberFormat="1" applyFont="1" applyBorder="1" applyAlignment="1">
      <alignment horizontal="center" vertical="center"/>
    </xf>
    <xf numFmtId="4" fontId="37" fillId="0" borderId="109" xfId="0" applyNumberFormat="1" applyFont="1" applyBorder="1" applyAlignment="1">
      <alignment horizontal="center" vertical="center"/>
    </xf>
    <xf numFmtId="4" fontId="37" fillId="0" borderId="110" xfId="0" applyNumberFormat="1" applyFont="1" applyBorder="1" applyAlignment="1">
      <alignment horizontal="center" vertical="center"/>
    </xf>
    <xf numFmtId="4" fontId="37" fillId="0" borderId="111" xfId="0" applyNumberFormat="1" applyFont="1" applyBorder="1" applyAlignment="1">
      <alignment horizontal="center" vertical="center"/>
    </xf>
    <xf numFmtId="4" fontId="37" fillId="0" borderId="112" xfId="0" applyNumberFormat="1" applyFont="1" applyBorder="1" applyAlignment="1">
      <alignment horizontal="center" vertical="center"/>
    </xf>
    <xf numFmtId="4" fontId="37" fillId="0" borderId="113" xfId="0" applyNumberFormat="1" applyFont="1" applyBorder="1" applyAlignment="1">
      <alignment horizontal="center" vertical="center"/>
    </xf>
    <xf numFmtId="4" fontId="38" fillId="4" borderId="114" xfId="0" applyNumberFormat="1" applyFont="1" applyFill="1" applyBorder="1" applyAlignment="1">
      <alignment horizontal="center" vertical="center"/>
    </xf>
    <xf numFmtId="4" fontId="38" fillId="4" borderId="106" xfId="0" applyNumberFormat="1" applyFont="1" applyFill="1" applyBorder="1" applyAlignment="1">
      <alignment horizontal="center" vertical="center"/>
    </xf>
    <xf numFmtId="4" fontId="38" fillId="4" borderId="91" xfId="0" applyNumberFormat="1" applyFont="1" applyFill="1" applyBorder="1" applyAlignment="1">
      <alignment horizontal="center" vertical="center"/>
    </xf>
    <xf numFmtId="4" fontId="38" fillId="4" borderId="115" xfId="0" applyNumberFormat="1" applyFont="1" applyFill="1" applyBorder="1" applyAlignment="1">
      <alignment horizontal="center" vertical="center"/>
    </xf>
    <xf numFmtId="4" fontId="38" fillId="4" borderId="57" xfId="0" applyNumberFormat="1" applyFont="1" applyFill="1" applyBorder="1" applyAlignment="1">
      <alignment horizontal="center" vertical="center"/>
    </xf>
    <xf numFmtId="4" fontId="37" fillId="0" borderId="116" xfId="0" applyNumberFormat="1" applyFont="1" applyBorder="1" applyAlignment="1">
      <alignment horizontal="center" vertical="center"/>
    </xf>
    <xf numFmtId="4" fontId="37" fillId="0" borderId="117" xfId="0" applyNumberFormat="1" applyFont="1" applyBorder="1" applyAlignment="1">
      <alignment horizontal="center" vertical="center"/>
    </xf>
    <xf numFmtId="4" fontId="37" fillId="0" borderId="43" xfId="0" applyNumberFormat="1" applyFont="1" applyBorder="1" applyAlignment="1">
      <alignment horizontal="center" vertical="center"/>
    </xf>
    <xf numFmtId="4" fontId="37" fillId="0" borderId="118" xfId="0" applyNumberFormat="1" applyFont="1" applyBorder="1" applyAlignment="1">
      <alignment horizontal="center" vertical="center"/>
    </xf>
    <xf numFmtId="4" fontId="37" fillId="0" borderId="119" xfId="0" applyNumberFormat="1" applyFont="1" applyBorder="1" applyAlignment="1">
      <alignment horizontal="center" vertical="center"/>
    </xf>
    <xf numFmtId="4" fontId="37" fillId="0" borderId="120" xfId="0" applyNumberFormat="1" applyFont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121" xfId="0" applyFont="1" applyFill="1" applyBorder="1" applyAlignment="1">
      <alignment horizontal="center" vertical="center"/>
    </xf>
    <xf numFmtId="4" fontId="38" fillId="4" borderId="19" xfId="0" applyNumberFormat="1" applyFont="1" applyFill="1" applyBorder="1" applyAlignment="1">
      <alignment horizontal="center" vertical="center"/>
    </xf>
    <xf numFmtId="4" fontId="37" fillId="0" borderId="105" xfId="0" applyNumberFormat="1" applyFont="1" applyBorder="1" applyAlignment="1">
      <alignment horizontal="center" vertical="center"/>
    </xf>
    <xf numFmtId="4" fontId="38" fillId="4" borderId="122" xfId="0" applyNumberFormat="1" applyFont="1" applyFill="1" applyBorder="1" applyAlignment="1">
      <alignment horizontal="center" vertical="center"/>
    </xf>
    <xf numFmtId="4" fontId="37" fillId="0" borderId="124" xfId="0" applyNumberFormat="1" applyFont="1" applyBorder="1" applyAlignment="1">
      <alignment horizontal="center" vertical="center"/>
    </xf>
    <xf numFmtId="4" fontId="37" fillId="0" borderId="123" xfId="0" applyNumberFormat="1" applyFont="1" applyBorder="1" applyAlignment="1">
      <alignment horizontal="center" vertical="center"/>
    </xf>
    <xf numFmtId="4" fontId="37" fillId="0" borderId="125" xfId="0" applyNumberFormat="1" applyFont="1" applyBorder="1" applyAlignment="1">
      <alignment horizontal="center" vertical="center"/>
    </xf>
    <xf numFmtId="4" fontId="37" fillId="0" borderId="127" xfId="0" applyNumberFormat="1" applyFont="1" applyBorder="1" applyAlignment="1">
      <alignment horizontal="center" vertical="center"/>
    </xf>
    <xf numFmtId="4" fontId="37" fillId="0" borderId="126" xfId="0" applyNumberFormat="1" applyFont="1" applyBorder="1" applyAlignment="1">
      <alignment horizontal="center" vertical="center"/>
    </xf>
    <xf numFmtId="4" fontId="37" fillId="0" borderId="128" xfId="0" applyNumberFormat="1" applyFont="1" applyBorder="1" applyAlignment="1">
      <alignment horizontal="center" vertical="center"/>
    </xf>
    <xf numFmtId="0" fontId="38" fillId="3" borderId="49" xfId="0" applyFont="1" applyFill="1" applyBorder="1" applyAlignment="1">
      <alignment horizontal="centerContinuous" vertical="center"/>
    </xf>
    <xf numFmtId="0" fontId="38" fillId="4" borderId="49" xfId="0" applyFont="1" applyFill="1" applyBorder="1" applyAlignment="1">
      <alignment horizontal="center" vertical="center"/>
    </xf>
    <xf numFmtId="4" fontId="37" fillId="0" borderId="20" xfId="0" applyNumberFormat="1" applyFont="1" applyBorder="1" applyAlignment="1">
      <alignment horizontal="center" vertical="center"/>
    </xf>
    <xf numFmtId="3" fontId="37" fillId="0" borderId="57" xfId="0" applyNumberFormat="1" applyFont="1" applyBorder="1" applyAlignment="1">
      <alignment horizontal="center" vertical="center"/>
    </xf>
    <xf numFmtId="0" fontId="45" fillId="0" borderId="0" xfId="4" applyFill="1" applyBorder="1" applyAlignment="1">
      <alignment horizontal="centerContinuous" vertical="center"/>
    </xf>
    <xf numFmtId="0" fontId="45" fillId="0" borderId="0" xfId="4"/>
    <xf numFmtId="0" fontId="45" fillId="0" borderId="44" xfId="4" applyFill="1" applyBorder="1" applyAlignment="1">
      <alignment horizontal="centerContinuous" vertical="center"/>
    </xf>
    <xf numFmtId="0" fontId="45" fillId="0" borderId="45" xfId="4" applyFill="1" applyBorder="1" applyAlignment="1">
      <alignment horizontal="centerContinuous" vertical="center"/>
    </xf>
    <xf numFmtId="4" fontId="45" fillId="0" borderId="50" xfId="4" applyNumberFormat="1" applyBorder="1" applyAlignment="1">
      <alignment horizontal="centerContinuous" vertical="center"/>
    </xf>
    <xf numFmtId="4" fontId="46" fillId="0" borderId="9" xfId="4" applyNumberFormat="1" applyFont="1" applyBorder="1" applyAlignment="1">
      <alignment horizontal="center" vertical="center"/>
    </xf>
    <xf numFmtId="4" fontId="46" fillId="0" borderId="11" xfId="4" applyNumberFormat="1" applyFont="1" applyBorder="1" applyAlignment="1">
      <alignment horizontal="center" vertical="center"/>
    </xf>
    <xf numFmtId="4" fontId="46" fillId="0" borderId="13" xfId="4" applyNumberFormat="1" applyFont="1" applyBorder="1" applyAlignment="1">
      <alignment horizontal="center" vertical="center"/>
    </xf>
    <xf numFmtId="0" fontId="45" fillId="0" borderId="0" xfId="4" applyFill="1" applyAlignment="1">
      <alignment horizontal="centerContinuous"/>
    </xf>
    <xf numFmtId="168" fontId="50" fillId="0" borderId="0" xfId="0" applyNumberFormat="1" applyFont="1" applyAlignment="1">
      <alignment horizontal="left"/>
    </xf>
    <xf numFmtId="0" fontId="0" fillId="0" borderId="0" xfId="0"/>
    <xf numFmtId="0" fontId="38" fillId="3" borderId="4" xfId="6" applyFont="1" applyFill="1" applyBorder="1" applyAlignment="1">
      <alignment horizontal="centerContinuous" vertical="center"/>
    </xf>
    <xf numFmtId="0" fontId="38" fillId="3" borderId="6" xfId="6" applyFont="1" applyFill="1" applyBorder="1" applyAlignment="1">
      <alignment horizontal="centerContinuous" vertical="center"/>
    </xf>
    <xf numFmtId="4" fontId="49" fillId="0" borderId="11" xfId="6" applyNumberFormat="1" applyFont="1" applyBorder="1" applyAlignment="1">
      <alignment horizontal="center" vertical="center"/>
    </xf>
    <xf numFmtId="4" fontId="49" fillId="0" borderId="16" xfId="6" applyNumberFormat="1" applyFont="1" applyBorder="1" applyAlignment="1">
      <alignment horizontal="center" vertical="center"/>
    </xf>
    <xf numFmtId="4" fontId="49" fillId="0" borderId="13" xfId="6" applyNumberFormat="1" applyFont="1" applyBorder="1" applyAlignment="1">
      <alignment horizontal="center" vertical="center"/>
    </xf>
    <xf numFmtId="4" fontId="49" fillId="0" borderId="17" xfId="6" applyNumberFormat="1" applyFont="1" applyBorder="1" applyAlignment="1">
      <alignment horizontal="center" vertical="center"/>
    </xf>
    <xf numFmtId="168" fontId="49" fillId="0" borderId="16" xfId="6" applyNumberFormat="1" applyFont="1" applyBorder="1" applyAlignment="1">
      <alignment horizontal="right" vertical="center"/>
    </xf>
    <xf numFmtId="168" fontId="49" fillId="0" borderId="17" xfId="6" applyNumberFormat="1" applyFont="1" applyBorder="1" applyAlignment="1">
      <alignment horizontal="right" vertical="center"/>
    </xf>
    <xf numFmtId="3" fontId="49" fillId="0" borderId="16" xfId="6" applyNumberFormat="1" applyFont="1" applyBorder="1" applyAlignment="1">
      <alignment horizontal="right" vertical="center"/>
    </xf>
    <xf numFmtId="3" fontId="49" fillId="0" borderId="17" xfId="6" applyNumberFormat="1" applyFont="1" applyBorder="1" applyAlignment="1">
      <alignment horizontal="right" vertical="center"/>
    </xf>
    <xf numFmtId="0" fontId="38" fillId="3" borderId="50" xfId="0" applyFont="1" applyFill="1" applyBorder="1" applyAlignment="1">
      <alignment horizontal="centerContinuous" vertical="center"/>
    </xf>
    <xf numFmtId="0" fontId="39" fillId="3" borderId="45" xfId="0" applyFont="1" applyFill="1" applyBorder="1" applyAlignment="1">
      <alignment horizontal="centerContinuous" vertical="center"/>
    </xf>
    <xf numFmtId="180" fontId="37" fillId="0" borderId="44" xfId="0" applyNumberFormat="1" applyFont="1" applyBorder="1" applyAlignment="1">
      <alignment horizontal="center"/>
    </xf>
    <xf numFmtId="180" fontId="37" fillId="0" borderId="82" xfId="0" applyNumberFormat="1" applyFont="1" applyBorder="1" applyAlignment="1">
      <alignment horizontal="center"/>
    </xf>
    <xf numFmtId="4" fontId="37" fillId="0" borderId="13" xfId="0" applyNumberFormat="1" applyFont="1" applyFill="1" applyBorder="1" applyAlignment="1">
      <alignment horizontal="center" vertical="center"/>
    </xf>
    <xf numFmtId="0" fontId="37" fillId="0" borderId="14" xfId="0" applyNumberFormat="1" applyFont="1" applyBorder="1" applyAlignment="1">
      <alignment horizontal="center" vertical="center"/>
    </xf>
    <xf numFmtId="179" fontId="37" fillId="0" borderId="12" xfId="0" applyNumberFormat="1" applyFont="1" applyBorder="1" applyAlignment="1">
      <alignment horizontal="center" vertical="center"/>
    </xf>
    <xf numFmtId="179" fontId="37" fillId="0" borderId="14" xfId="0" applyNumberFormat="1" applyFont="1" applyBorder="1" applyAlignment="1">
      <alignment horizontal="center" vertical="center"/>
    </xf>
    <xf numFmtId="0" fontId="37" fillId="0" borderId="12" xfId="0" applyNumberFormat="1" applyFont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0" fillId="0" borderId="0" xfId="0"/>
    <xf numFmtId="9" fontId="0" fillId="0" borderId="0" xfId="0" applyNumberFormat="1"/>
    <xf numFmtId="4" fontId="42" fillId="8" borderId="9" xfId="6" applyNumberFormat="1" applyFont="1" applyFill="1" applyBorder="1" applyAlignment="1">
      <alignment horizontal="center" vertical="center"/>
    </xf>
    <xf numFmtId="4" fontId="42" fillId="8" borderId="11" xfId="6" applyNumberFormat="1" applyFont="1" applyFill="1" applyBorder="1" applyAlignment="1">
      <alignment horizontal="center" vertical="center"/>
    </xf>
    <xf numFmtId="4" fontId="42" fillId="8" borderId="13" xfId="6" applyNumberFormat="1" applyFont="1" applyFill="1" applyBorder="1" applyAlignment="1">
      <alignment horizontal="center" vertical="center"/>
    </xf>
    <xf numFmtId="4" fontId="37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54" fillId="0" borderId="0" xfId="0" applyFont="1"/>
    <xf numFmtId="168" fontId="38" fillId="4" borderId="21" xfId="0" applyNumberFormat="1" applyFont="1" applyFill="1" applyBorder="1" applyAlignment="1">
      <alignment horizontal="center" vertical="center"/>
    </xf>
    <xf numFmtId="0" fontId="55" fillId="0" borderId="0" xfId="0" applyFont="1"/>
    <xf numFmtId="170" fontId="37" fillId="0" borderId="76" xfId="0" applyNumberFormat="1" applyFont="1" applyBorder="1" applyAlignment="1">
      <alignment horizontal="center" vertical="center"/>
    </xf>
    <xf numFmtId="170" fontId="37" fillId="0" borderId="77" xfId="0" applyNumberFormat="1" applyFont="1" applyBorder="1" applyAlignment="1">
      <alignment horizontal="center" vertical="center"/>
    </xf>
    <xf numFmtId="170" fontId="37" fillId="0" borderId="78" xfId="0" applyNumberFormat="1" applyFont="1" applyBorder="1" applyAlignment="1">
      <alignment horizontal="center" vertical="center"/>
    </xf>
    <xf numFmtId="0" fontId="38" fillId="3" borderId="19" xfId="0" applyFont="1" applyFill="1" applyBorder="1" applyAlignment="1">
      <alignment horizontal="centerContinuous" vertical="center"/>
    </xf>
    <xf numFmtId="4" fontId="37" fillId="0" borderId="0" xfId="0" applyNumberFormat="1" applyFont="1" applyAlignment="1">
      <alignment horizontal="center" vertical="center"/>
    </xf>
    <xf numFmtId="4" fontId="37" fillId="0" borderId="9" xfId="0" applyNumberFormat="1" applyFont="1" applyBorder="1" applyAlignment="1">
      <alignment horizontal="centerContinuous" vertical="center"/>
    </xf>
    <xf numFmtId="4" fontId="37" fillId="0" borderId="11" xfId="0" applyNumberFormat="1" applyFont="1" applyBorder="1" applyAlignment="1">
      <alignment horizontal="centerContinuous" vertical="center"/>
    </xf>
    <xf numFmtId="4" fontId="37" fillId="0" borderId="13" xfId="0" applyNumberFormat="1" applyFont="1" applyBorder="1" applyAlignment="1">
      <alignment horizontal="centerContinuous" vertical="center"/>
    </xf>
    <xf numFmtId="4" fontId="37" fillId="0" borderId="20" xfId="0" applyNumberFormat="1" applyFont="1" applyBorder="1" applyAlignment="1">
      <alignment horizontal="centerContinuous" vertical="center"/>
    </xf>
    <xf numFmtId="4" fontId="37" fillId="0" borderId="91" xfId="0" applyNumberFormat="1" applyFont="1" applyBorder="1" applyAlignment="1">
      <alignment horizontal="centerContinuous" vertical="center"/>
    </xf>
    <xf numFmtId="4" fontId="37" fillId="0" borderId="21" xfId="0" applyNumberFormat="1" applyFont="1" applyBorder="1" applyAlignment="1">
      <alignment horizontal="centerContinuous" vertical="center"/>
    </xf>
    <xf numFmtId="4" fontId="37" fillId="0" borderId="27" xfId="0" applyNumberFormat="1" applyFont="1" applyBorder="1" applyAlignment="1">
      <alignment horizontal="centerContinuous" vertical="center"/>
    </xf>
    <xf numFmtId="180" fontId="37" fillId="0" borderId="10" xfId="0" applyNumberFormat="1" applyFont="1" applyBorder="1" applyAlignment="1">
      <alignment horizontal="center" vertical="center"/>
    </xf>
    <xf numFmtId="169" fontId="37" fillId="0" borderId="10" xfId="0" applyNumberFormat="1" applyFont="1" applyBorder="1" applyAlignment="1">
      <alignment horizontal="center" vertical="center"/>
    </xf>
    <xf numFmtId="169" fontId="37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8" fillId="3" borderId="89" xfId="0" applyFont="1" applyFill="1" applyBorder="1" applyAlignment="1">
      <alignment horizontal="centerContinuous" vertical="center"/>
    </xf>
    <xf numFmtId="0" fontId="38" fillId="3" borderId="130" xfId="0" applyFont="1" applyFill="1" applyBorder="1" applyAlignment="1">
      <alignment horizontal="centerContinuous" vertical="center"/>
    </xf>
    <xf numFmtId="0" fontId="38" fillId="3" borderId="106" xfId="0" applyFont="1" applyFill="1" applyBorder="1" applyAlignment="1">
      <alignment horizontal="centerContinuous" vertical="center"/>
    </xf>
    <xf numFmtId="170" fontId="49" fillId="0" borderId="9" xfId="0" applyNumberFormat="1" applyFont="1" applyFill="1" applyBorder="1" applyAlignment="1">
      <alignment horizontal="center" vertical="center"/>
    </xf>
    <xf numFmtId="170" fontId="49" fillId="0" borderId="15" xfId="0" applyNumberFormat="1" applyFont="1" applyFill="1" applyBorder="1" applyAlignment="1">
      <alignment horizontal="center" vertical="center"/>
    </xf>
    <xf numFmtId="170" fontId="49" fillId="0" borderId="10" xfId="0" applyNumberFormat="1" applyFont="1" applyFill="1" applyBorder="1" applyAlignment="1">
      <alignment horizontal="center" vertical="center"/>
    </xf>
    <xf numFmtId="170" fontId="49" fillId="0" borderId="11" xfId="0" applyNumberFormat="1" applyFont="1" applyFill="1" applyBorder="1" applyAlignment="1">
      <alignment horizontal="center" vertical="center"/>
    </xf>
    <xf numFmtId="170" fontId="49" fillId="0" borderId="16" xfId="0" applyNumberFormat="1" applyFont="1" applyFill="1" applyBorder="1" applyAlignment="1">
      <alignment horizontal="center" vertical="center"/>
    </xf>
    <xf numFmtId="170" fontId="49" fillId="0" borderId="12" xfId="0" applyNumberFormat="1" applyFont="1" applyFill="1" applyBorder="1" applyAlignment="1">
      <alignment horizontal="center" vertical="center"/>
    </xf>
    <xf numFmtId="170" fontId="49" fillId="0" borderId="13" xfId="0" applyNumberFormat="1" applyFont="1" applyFill="1" applyBorder="1" applyAlignment="1">
      <alignment horizontal="center" vertical="center"/>
    </xf>
    <xf numFmtId="170" fontId="49" fillId="0" borderId="17" xfId="0" applyNumberFormat="1" applyFont="1" applyFill="1" applyBorder="1" applyAlignment="1">
      <alignment horizontal="center" vertical="center"/>
    </xf>
    <xf numFmtId="170" fontId="49" fillId="0" borderId="14" xfId="0" applyNumberFormat="1" applyFont="1" applyFill="1" applyBorder="1" applyAlignment="1">
      <alignment horizontal="center" vertical="center"/>
    </xf>
    <xf numFmtId="0" fontId="57" fillId="0" borderId="0" xfId="0" applyFont="1"/>
    <xf numFmtId="0" fontId="45" fillId="0" borderId="0" xfId="4" applyAlignment="1">
      <alignment horizontal="center"/>
    </xf>
    <xf numFmtId="0" fontId="58" fillId="0" borderId="0" xfId="0" applyFont="1"/>
    <xf numFmtId="4" fontId="45" fillId="0" borderId="11" xfId="4" applyNumberFormat="1" applyBorder="1" applyAlignment="1">
      <alignment horizontal="center" vertical="center"/>
    </xf>
    <xf numFmtId="4" fontId="45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4" fontId="37" fillId="0" borderId="131" xfId="0" applyNumberFormat="1" applyFont="1" applyBorder="1" applyAlignment="1">
      <alignment horizontal="center" vertical="center"/>
    </xf>
    <xf numFmtId="170" fontId="37" fillId="0" borderId="30" xfId="0" applyNumberFormat="1" applyFont="1" applyBorder="1" applyAlignment="1">
      <alignment horizontal="center" vertical="center"/>
    </xf>
    <xf numFmtId="2" fontId="37" fillId="0" borderId="132" xfId="0" applyNumberFormat="1" applyFont="1" applyBorder="1" applyAlignment="1">
      <alignment horizontal="center" vertical="center"/>
    </xf>
    <xf numFmtId="170" fontId="37" fillId="0" borderId="55" xfId="0" applyNumberFormat="1" applyFont="1" applyBorder="1" applyAlignment="1">
      <alignment horizontal="center" vertical="center"/>
    </xf>
    <xf numFmtId="170" fontId="37" fillId="0" borderId="75" xfId="0" applyNumberFormat="1" applyFont="1" applyBorder="1" applyAlignment="1">
      <alignment horizontal="center" vertical="center"/>
    </xf>
    <xf numFmtId="170" fontId="37" fillId="0" borderId="16" xfId="0" applyNumberFormat="1" applyFont="1" applyBorder="1" applyAlignment="1">
      <alignment horizontal="center" vertical="center"/>
    </xf>
    <xf numFmtId="170" fontId="37" fillId="0" borderId="12" xfId="0" applyNumberFormat="1" applyFont="1" applyBorder="1" applyAlignment="1">
      <alignment horizontal="center" vertical="center"/>
    </xf>
    <xf numFmtId="170" fontId="37" fillId="0" borderId="17" xfId="0" applyNumberFormat="1" applyFont="1" applyBorder="1" applyAlignment="1">
      <alignment horizontal="center" vertical="center"/>
    </xf>
    <xf numFmtId="170" fontId="37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9" fillId="4" borderId="28" xfId="0" applyNumberFormat="1" applyFont="1" applyFill="1" applyBorder="1" applyAlignment="1">
      <alignment horizontal="center" vertical="center"/>
    </xf>
    <xf numFmtId="4" fontId="29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7" fillId="0" borderId="44" xfId="0" applyNumberFormat="1" applyFont="1" applyBorder="1" applyAlignment="1">
      <alignment horizontal="center"/>
    </xf>
    <xf numFmtId="169" fontId="37" fillId="0" borderId="82" xfId="0" applyNumberFormat="1" applyFont="1" applyBorder="1" applyAlignment="1">
      <alignment horizontal="center"/>
    </xf>
    <xf numFmtId="168" fontId="37" fillId="0" borderId="44" xfId="0" applyNumberFormat="1" applyFont="1" applyBorder="1" applyAlignment="1">
      <alignment horizontal="centerContinuous"/>
    </xf>
    <xf numFmtId="168" fontId="37" fillId="0" borderId="82" xfId="0" applyNumberFormat="1" applyFont="1" applyBorder="1" applyAlignment="1">
      <alignment horizontal="centerContinuous"/>
    </xf>
    <xf numFmtId="4" fontId="37" fillId="0" borderId="133" xfId="0" applyNumberFormat="1" applyFont="1" applyBorder="1" applyAlignment="1">
      <alignment horizontal="centerContinuous" vertical="center"/>
    </xf>
    <xf numFmtId="4" fontId="37" fillId="0" borderId="134" xfId="0" applyNumberFormat="1" applyFont="1" applyBorder="1" applyAlignment="1">
      <alignment horizontal="centerContinuous" vertical="center"/>
    </xf>
    <xf numFmtId="4" fontId="37" fillId="0" borderId="135" xfId="0" applyNumberFormat="1" applyFont="1" applyBorder="1" applyAlignment="1">
      <alignment horizontal="centerContinuous" vertical="center"/>
    </xf>
    <xf numFmtId="168" fontId="37" fillId="0" borderId="61" xfId="0" applyNumberFormat="1" applyFont="1" applyBorder="1" applyAlignment="1">
      <alignment horizontal="centerContinuous" vertical="center"/>
    </xf>
    <xf numFmtId="168" fontId="37" fillId="0" borderId="82" xfId="0" applyNumberFormat="1" applyFont="1" applyBorder="1" applyAlignment="1">
      <alignment horizontal="centerContinuous" vertical="center"/>
    </xf>
    <xf numFmtId="168" fontId="37" fillId="0" borderId="63" xfId="0" applyNumberFormat="1" applyFont="1" applyBorder="1" applyAlignment="1">
      <alignment horizontal="centerContinuous" vertical="center"/>
    </xf>
    <xf numFmtId="168" fontId="37" fillId="0" borderId="45" xfId="0" applyNumberFormat="1" applyFont="1" applyBorder="1" applyAlignment="1">
      <alignment horizontal="centerContinuous" vertical="center"/>
    </xf>
    <xf numFmtId="4" fontId="37" fillId="0" borderId="104" xfId="0" applyNumberFormat="1" applyFont="1" applyBorder="1" applyAlignment="1">
      <alignment horizontal="centerContinuous" vertical="center"/>
    </xf>
    <xf numFmtId="4" fontId="37" fillId="0" borderId="129" xfId="0" applyNumberFormat="1" applyFont="1" applyBorder="1" applyAlignment="1">
      <alignment horizontal="centerContinuous" vertical="center"/>
    </xf>
    <xf numFmtId="4" fontId="37" fillId="0" borderId="136" xfId="0" applyNumberFormat="1" applyFont="1" applyBorder="1" applyAlignment="1">
      <alignment horizontal="centerContinuous" vertical="center"/>
    </xf>
    <xf numFmtId="4" fontId="37" fillId="0" borderId="61" xfId="0" applyNumberFormat="1" applyFont="1" applyBorder="1" applyAlignment="1">
      <alignment horizontal="centerContinuous" vertical="center"/>
    </xf>
    <xf numFmtId="4" fontId="37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7" fillId="0" borderId="138" xfId="0" applyNumberFormat="1" applyFont="1" applyBorder="1" applyAlignment="1">
      <alignment horizontal="centerContinuous" vertical="center"/>
    </xf>
    <xf numFmtId="168" fontId="37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9" fillId="4" borderId="143" xfId="0" applyFont="1" applyFill="1" applyBorder="1" applyAlignment="1">
      <alignment horizontal="center" vertical="center"/>
    </xf>
    <xf numFmtId="0" fontId="29" fillId="4" borderId="144" xfId="0" applyFont="1" applyFill="1" applyBorder="1" applyAlignment="1">
      <alignment horizontal="center" vertical="center"/>
    </xf>
    <xf numFmtId="4" fontId="37" fillId="0" borderId="14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Continuous"/>
    </xf>
    <xf numFmtId="2" fontId="37" fillId="0" borderId="82" xfId="0" applyNumberFormat="1" applyFont="1" applyBorder="1" applyAlignment="1">
      <alignment horizontal="centerContinuous"/>
    </xf>
    <xf numFmtId="0" fontId="38" fillId="4" borderId="50" xfId="0" applyFont="1" applyFill="1" applyBorder="1" applyAlignment="1">
      <alignment horizontal="centerContinuous" vertical="center"/>
    </xf>
    <xf numFmtId="0" fontId="38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7" fillId="0" borderId="147" xfId="0" applyNumberFormat="1" applyFont="1" applyBorder="1" applyAlignment="1">
      <alignment horizontal="centerContinuous" vertical="center"/>
    </xf>
    <xf numFmtId="4" fontId="37" fillId="0" borderId="62" xfId="0" applyNumberFormat="1" applyFont="1" applyBorder="1" applyAlignment="1">
      <alignment horizontal="centerContinuous" vertical="center"/>
    </xf>
    <xf numFmtId="9" fontId="37" fillId="0" borderId="10" xfId="0" applyNumberFormat="1" applyFont="1" applyBorder="1" applyAlignment="1">
      <alignment horizontal="center" vertical="center"/>
    </xf>
    <xf numFmtId="9" fontId="37" fillId="0" borderId="12" xfId="0" applyNumberFormat="1" applyFont="1" applyBorder="1" applyAlignment="1">
      <alignment horizontal="center" vertical="center"/>
    </xf>
    <xf numFmtId="4" fontId="45" fillId="0" borderId="97" xfId="4" applyNumberFormat="1" applyBorder="1" applyAlignment="1">
      <alignment horizontal="center" vertical="center"/>
    </xf>
    <xf numFmtId="175" fontId="37" fillId="0" borderId="14" xfId="0" applyNumberFormat="1" applyFont="1" applyBorder="1" applyAlignment="1">
      <alignment horizontal="center" vertical="center"/>
    </xf>
    <xf numFmtId="176" fontId="37" fillId="0" borderId="10" xfId="0" applyNumberFormat="1" applyFont="1" applyBorder="1" applyAlignment="1">
      <alignment horizontal="center" vertical="center"/>
    </xf>
    <xf numFmtId="176" fontId="37" fillId="0" borderId="12" xfId="0" applyNumberFormat="1" applyFont="1" applyBorder="1" applyAlignment="1">
      <alignment horizontal="center" vertical="center"/>
    </xf>
    <xf numFmtId="176" fontId="37" fillId="0" borderId="14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37" fillId="0" borderId="13" xfId="0" applyNumberFormat="1" applyFont="1" applyBorder="1" applyAlignment="1">
      <alignment horizontal="center" vertical="center"/>
    </xf>
    <xf numFmtId="0" fontId="38" fillId="3" borderId="44" xfId="0" applyFont="1" applyFill="1" applyBorder="1" applyAlignment="1">
      <alignment horizontal="centerContinuous" vertical="center"/>
    </xf>
    <xf numFmtId="0" fontId="38" fillId="3" borderId="148" xfId="0" applyFont="1" applyFill="1" applyBorder="1" applyAlignment="1">
      <alignment horizontal="centerContinuous" vertical="center"/>
    </xf>
    <xf numFmtId="0" fontId="38" fillId="3" borderId="146" xfId="0" applyFont="1" applyFill="1" applyBorder="1" applyAlignment="1">
      <alignment horizontal="centerContinuous" vertical="center"/>
    </xf>
    <xf numFmtId="0" fontId="38" fillId="3" borderId="82" xfId="0" applyFont="1" applyFill="1" applyBorder="1" applyAlignment="1">
      <alignment horizontal="centerContinuous" vertical="center"/>
    </xf>
    <xf numFmtId="175" fontId="37" fillId="0" borderId="13" xfId="0" applyNumberFormat="1" applyFont="1" applyBorder="1" applyAlignment="1">
      <alignment horizontal="centerContinuous" vertical="center"/>
    </xf>
    <xf numFmtId="175" fontId="37" fillId="0" borderId="135" xfId="0" applyNumberFormat="1" applyFont="1" applyBorder="1" applyAlignment="1">
      <alignment horizontal="centerContinuous" vertical="center"/>
    </xf>
    <xf numFmtId="175" fontId="37" fillId="0" borderId="149" xfId="0" applyNumberFormat="1" applyFont="1" applyBorder="1" applyAlignment="1">
      <alignment horizontal="centerContinuous" vertical="center"/>
    </xf>
    <xf numFmtId="175" fontId="37" fillId="0" borderId="150" xfId="0" applyNumberFormat="1" applyFont="1" applyBorder="1" applyAlignment="1">
      <alignment horizontal="centerContinuous" vertical="center"/>
    </xf>
    <xf numFmtId="4" fontId="37" fillId="0" borderId="19" xfId="0" applyNumberFormat="1" applyFont="1" applyBorder="1" applyAlignment="1">
      <alignment horizontal="center" vertical="center"/>
    </xf>
    <xf numFmtId="0" fontId="61" fillId="0" borderId="0" xfId="0" applyFont="1" applyBorder="1"/>
    <xf numFmtId="0" fontId="61" fillId="0" borderId="0" xfId="0" applyFont="1"/>
    <xf numFmtId="0" fontId="0" fillId="0" borderId="0" xfId="0" applyBorder="1" applyAlignment="1">
      <alignment horizontal="left"/>
    </xf>
    <xf numFmtId="0" fontId="63" fillId="0" borderId="0" xfId="0" applyFont="1" applyFill="1" applyBorder="1" applyAlignment="1">
      <alignment horizontal="left" vertical="center"/>
    </xf>
    <xf numFmtId="0" fontId="45" fillId="0" borderId="0" xfId="4" applyFill="1" applyAlignment="1">
      <alignment horizontal="center"/>
    </xf>
    <xf numFmtId="4" fontId="45" fillId="0" borderId="151" xfId="4" applyNumberFormat="1" applyBorder="1" applyAlignment="1">
      <alignment horizontal="center" vertical="center"/>
    </xf>
    <xf numFmtId="0" fontId="45" fillId="0" borderId="152" xfId="4" applyFill="1" applyBorder="1" applyAlignment="1">
      <alignment horizontal="centerContinuous" vertical="center"/>
    </xf>
    <xf numFmtId="0" fontId="45" fillId="0" borderId="153" xfId="4" applyFill="1" applyBorder="1" applyAlignment="1">
      <alignment horizontal="centerContinuous" vertical="center"/>
    </xf>
    <xf numFmtId="4" fontId="45" fillId="0" borderId="154" xfId="4" applyNumberFormat="1" applyBorder="1" applyAlignment="1">
      <alignment horizontal="centerContinuous" vertical="center"/>
    </xf>
    <xf numFmtId="0" fontId="45" fillId="0" borderId="155" xfId="4" applyBorder="1" applyAlignment="1">
      <alignment horizontal="centerContinuous" vertical="center"/>
    </xf>
    <xf numFmtId="0" fontId="45" fillId="0" borderId="46" xfId="4" applyFill="1" applyBorder="1" applyAlignment="1">
      <alignment horizontal="center"/>
    </xf>
    <xf numFmtId="0" fontId="45" fillId="0" borderId="48" xfId="4" applyFill="1" applyBorder="1" applyAlignment="1">
      <alignment horizontal="center"/>
    </xf>
    <xf numFmtId="3" fontId="0" fillId="0" borderId="0" xfId="0" applyNumberFormat="1"/>
    <xf numFmtId="0" fontId="45" fillId="0" borderId="156" xfId="4" applyBorder="1" applyAlignment="1">
      <alignment horizontal="centerContinuous"/>
    </xf>
    <xf numFmtId="0" fontId="45" fillId="0" borderId="157" xfId="4" applyBorder="1" applyAlignment="1">
      <alignment horizontal="centerContinuous"/>
    </xf>
    <xf numFmtId="0" fontId="45" fillId="0" borderId="158" xfId="4" applyBorder="1" applyAlignment="1">
      <alignment horizontal="centerContinuous"/>
    </xf>
    <xf numFmtId="0" fontId="45" fillId="0" borderId="155" xfId="4" applyBorder="1" applyAlignment="1">
      <alignment horizontal="centerContinuous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62" fillId="0" borderId="0" xfId="0" applyFont="1"/>
    <xf numFmtId="0" fontId="70" fillId="0" borderId="0" xfId="0" applyFont="1"/>
    <xf numFmtId="168" fontId="28" fillId="0" borderId="159" xfId="0" applyNumberFormat="1" applyFont="1" applyBorder="1" applyAlignment="1">
      <alignment horizontal="right" vertical="center"/>
    </xf>
    <xf numFmtId="169" fontId="28" fillId="0" borderId="160" xfId="0" applyNumberFormat="1" applyFont="1" applyBorder="1" applyAlignment="1">
      <alignment horizontal="center" vertical="center"/>
    </xf>
    <xf numFmtId="168" fontId="28" fillId="6" borderId="67" xfId="0" applyNumberFormat="1" applyFont="1" applyFill="1" applyBorder="1" applyAlignment="1">
      <alignment horizontal="right" vertical="center"/>
    </xf>
    <xf numFmtId="168" fontId="28" fillId="0" borderId="67" xfId="0" applyNumberFormat="1" applyFont="1" applyBorder="1" applyAlignment="1">
      <alignment horizontal="right" vertical="center"/>
    </xf>
    <xf numFmtId="168" fontId="28" fillId="0" borderId="69" xfId="0" applyNumberFormat="1" applyFont="1" applyBorder="1" applyAlignment="1">
      <alignment horizontal="right" vertical="center"/>
    </xf>
    <xf numFmtId="169" fontId="28" fillId="0" borderId="70" xfId="0" applyNumberFormat="1" applyFont="1" applyBorder="1" applyAlignment="1">
      <alignment horizontal="right" vertical="center"/>
    </xf>
    <xf numFmtId="169" fontId="28" fillId="0" borderId="26" xfId="0" applyNumberFormat="1" applyFont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Continuous" vertical="center"/>
    </xf>
    <xf numFmtId="4" fontId="36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9" fillId="4" borderId="89" xfId="0" applyNumberFormat="1" applyFont="1" applyFill="1" applyBorder="1" applyAlignment="1">
      <alignment horizontal="centerContinuous" vertical="center"/>
    </xf>
    <xf numFmtId="0" fontId="37" fillId="0" borderId="134" xfId="0" applyFont="1" applyBorder="1" applyAlignment="1">
      <alignment horizontal="center" vertical="center"/>
    </xf>
    <xf numFmtId="0" fontId="37" fillId="0" borderId="161" xfId="0" applyFont="1" applyBorder="1" applyAlignment="1">
      <alignment horizontal="center" vertical="center"/>
    </xf>
    <xf numFmtId="0" fontId="29" fillId="4" borderId="58" xfId="0" applyFont="1" applyFill="1" applyBorder="1" applyAlignment="1">
      <alignment horizontal="centerContinuous" vertical="center"/>
    </xf>
    <xf numFmtId="0" fontId="37" fillId="0" borderId="162" xfId="0" applyFont="1" applyBorder="1" applyAlignment="1">
      <alignment horizontal="centerContinuous"/>
    </xf>
    <xf numFmtId="0" fontId="37" fillId="0" borderId="153" xfId="0" applyFont="1" applyBorder="1" applyAlignment="1">
      <alignment horizontal="centerContinuous"/>
    </xf>
    <xf numFmtId="0" fontId="37" fillId="0" borderId="163" xfId="0" applyFont="1" applyBorder="1" applyAlignment="1">
      <alignment horizontal="centerContinuous"/>
    </xf>
    <xf numFmtId="0" fontId="37" fillId="0" borderId="155" xfId="0" applyFont="1" applyBorder="1" applyAlignment="1">
      <alignment horizontal="centerContinuous"/>
    </xf>
    <xf numFmtId="168" fontId="38" fillId="4" borderId="29" xfId="0" applyNumberFormat="1" applyFont="1" applyFill="1" applyBorder="1" applyAlignment="1">
      <alignment horizontal="centerContinuous" vertical="center"/>
    </xf>
    <xf numFmtId="168" fontId="38" fillId="4" borderId="164" xfId="0" applyNumberFormat="1" applyFont="1" applyFill="1" applyBorder="1" applyAlignment="1">
      <alignment horizontal="centerContinuous" vertical="center"/>
    </xf>
    <xf numFmtId="4" fontId="37" fillId="0" borderId="70" xfId="0" applyNumberFormat="1" applyFont="1" applyBorder="1" applyAlignment="1">
      <alignment horizontal="center" vertical="center"/>
    </xf>
    <xf numFmtId="170" fontId="37" fillId="0" borderId="9" xfId="0" applyNumberFormat="1" applyFont="1" applyBorder="1" applyAlignment="1">
      <alignment horizontal="center" vertical="center"/>
    </xf>
    <xf numFmtId="170" fontId="37" fillId="0" borderId="15" xfId="0" applyNumberFormat="1" applyFont="1" applyBorder="1" applyAlignment="1">
      <alignment horizontal="center" vertical="center"/>
    </xf>
    <xf numFmtId="170" fontId="37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7" fillId="0" borderId="160" xfId="0" applyNumberFormat="1" applyFont="1" applyBorder="1" applyAlignment="1">
      <alignment horizontal="center" vertical="center"/>
    </xf>
    <xf numFmtId="170" fontId="37" fillId="0" borderId="68" xfId="0" applyNumberFormat="1" applyFont="1" applyBorder="1" applyAlignment="1">
      <alignment horizontal="center" vertical="center"/>
    </xf>
    <xf numFmtId="170" fontId="37" fillId="0" borderId="86" xfId="0" applyNumberFormat="1" applyFont="1" applyBorder="1" applyAlignment="1">
      <alignment horizontal="center" vertical="center"/>
    </xf>
    <xf numFmtId="170" fontId="37" fillId="0" borderId="70" xfId="0" applyNumberFormat="1" applyFont="1" applyBorder="1" applyAlignment="1">
      <alignment horizontal="center" vertical="center"/>
    </xf>
    <xf numFmtId="170" fontId="37" fillId="0" borderId="71" xfId="0" applyNumberFormat="1" applyFont="1" applyBorder="1" applyAlignment="1">
      <alignment horizontal="center" vertical="center"/>
    </xf>
    <xf numFmtId="4" fontId="45" fillId="0" borderId="9" xfId="4" applyNumberFormat="1" applyBorder="1" applyAlignment="1">
      <alignment horizontal="center" vertical="center"/>
    </xf>
    <xf numFmtId="4" fontId="37" fillId="0" borderId="0" xfId="0" applyNumberFormat="1" applyFont="1"/>
    <xf numFmtId="3" fontId="37" fillId="0" borderId="0" xfId="0" applyNumberFormat="1" applyFont="1"/>
    <xf numFmtId="0" fontId="37" fillId="0" borderId="31" xfId="0" applyFont="1" applyBorder="1" applyAlignment="1">
      <alignment horizontal="centerContinuous"/>
    </xf>
    <xf numFmtId="0" fontId="37" fillId="0" borderId="165" xfId="0" applyFont="1" applyBorder="1" applyAlignment="1">
      <alignment horizontal="centerContinuous"/>
    </xf>
    <xf numFmtId="0" fontId="37" fillId="0" borderId="35" xfId="0" applyFont="1" applyBorder="1" applyAlignment="1">
      <alignment horizontal="centerContinuous"/>
    </xf>
    <xf numFmtId="0" fontId="37" fillId="0" borderId="166" xfId="0" applyFont="1" applyBorder="1" applyAlignment="1">
      <alignment horizontal="centerContinuous"/>
    </xf>
    <xf numFmtId="3" fontId="37" fillId="0" borderId="23" xfId="0" applyNumberFormat="1" applyFont="1" applyBorder="1"/>
    <xf numFmtId="3" fontId="37" fillId="0" borderId="56" xfId="0" applyNumberFormat="1" applyFont="1" applyBorder="1"/>
    <xf numFmtId="3" fontId="37" fillId="0" borderId="24" xfId="0" applyNumberFormat="1" applyFont="1" applyBorder="1"/>
    <xf numFmtId="3" fontId="37" fillId="0" borderId="40" xfId="0" applyNumberFormat="1" applyFont="1" applyBorder="1"/>
    <xf numFmtId="3" fontId="37" fillId="0" borderId="0" xfId="0" applyNumberFormat="1" applyFont="1" applyBorder="1"/>
    <xf numFmtId="3" fontId="37" fillId="0" borderId="41" xfId="0" applyNumberFormat="1" applyFont="1" applyBorder="1"/>
    <xf numFmtId="3" fontId="37" fillId="0" borderId="42" xfId="0" applyNumberFormat="1" applyFont="1" applyBorder="1"/>
    <xf numFmtId="3" fontId="37" fillId="0" borderId="129" xfId="0" applyNumberFormat="1" applyFont="1" applyBorder="1"/>
    <xf numFmtId="3" fontId="37" fillId="0" borderId="43" xfId="0" applyNumberFormat="1" applyFont="1" applyBorder="1"/>
    <xf numFmtId="3" fontId="37" fillId="0" borderId="44" xfId="0" applyNumberFormat="1" applyFont="1" applyBorder="1"/>
    <xf numFmtId="3" fontId="37" fillId="0" borderId="82" xfId="0" applyNumberFormat="1" applyFont="1" applyBorder="1"/>
    <xf numFmtId="3" fontId="37" fillId="0" borderId="45" xfId="0" applyNumberFormat="1" applyFont="1" applyBorder="1"/>
    <xf numFmtId="4" fontId="37" fillId="9" borderId="44" xfId="0" applyNumberFormat="1" applyFont="1" applyFill="1" applyBorder="1" applyAlignment="1">
      <alignment horizontal="center" vertical="center"/>
    </xf>
    <xf numFmtId="4" fontId="37" fillId="9" borderId="45" xfId="0" applyNumberFormat="1" applyFont="1" applyFill="1" applyBorder="1" applyAlignment="1">
      <alignment horizontal="center" vertical="center"/>
    </xf>
    <xf numFmtId="0" fontId="37" fillId="0" borderId="44" xfId="0" applyFont="1" applyBorder="1"/>
    <xf numFmtId="0" fontId="37" fillId="0" borderId="82" xfId="0" applyFont="1" applyBorder="1"/>
    <xf numFmtId="0" fontId="37" fillId="0" borderId="45" xfId="0" applyFont="1" applyBorder="1"/>
    <xf numFmtId="0" fontId="37" fillId="0" borderId="56" xfId="0" applyFont="1" applyBorder="1"/>
    <xf numFmtId="0" fontId="37" fillId="0" borderId="24" xfId="0" applyFont="1" applyBorder="1"/>
    <xf numFmtId="0" fontId="37" fillId="0" borderId="0" xfId="0" applyFont="1" applyBorder="1"/>
    <xf numFmtId="0" fontId="37" fillId="0" borderId="41" xfId="0" applyFont="1" applyBorder="1"/>
    <xf numFmtId="0" fontId="37" fillId="0" borderId="129" xfId="0" applyFont="1" applyBorder="1"/>
    <xf numFmtId="0" fontId="37" fillId="0" borderId="43" xfId="0" applyFont="1" applyBorder="1"/>
    <xf numFmtId="0" fontId="37" fillId="0" borderId="23" xfId="0" applyFont="1" applyBorder="1"/>
    <xf numFmtId="0" fontId="37" fillId="0" borderId="40" xfId="0" applyFont="1" applyBorder="1"/>
    <xf numFmtId="0" fontId="37" fillId="0" borderId="42" xfId="0" applyFont="1" applyBorder="1"/>
    <xf numFmtId="4" fontId="38" fillId="4" borderId="20" xfId="0" applyNumberFormat="1" applyFont="1" applyFill="1" applyBorder="1" applyAlignment="1">
      <alignment horizontal="center" vertical="center"/>
    </xf>
    <xf numFmtId="4" fontId="38" fillId="4" borderId="21" xfId="0" applyNumberFormat="1" applyFont="1" applyFill="1" applyBorder="1" applyAlignment="1">
      <alignment horizontal="center" vertical="center"/>
    </xf>
    <xf numFmtId="4" fontId="36" fillId="5" borderId="16" xfId="0" applyNumberFormat="1" applyFont="1" applyFill="1" applyBorder="1" applyAlignment="1">
      <alignment horizontal="center" vertical="center"/>
    </xf>
    <xf numFmtId="4" fontId="36" fillId="5" borderId="12" xfId="0" applyNumberFormat="1" applyFont="1" applyFill="1" applyBorder="1" applyAlignment="1">
      <alignment horizontal="center" vertical="center"/>
    </xf>
    <xf numFmtId="171" fontId="36" fillId="5" borderId="15" xfId="0" applyNumberFormat="1" applyFont="1" applyFill="1" applyBorder="1" applyAlignment="1">
      <alignment horizontal="right" vertical="center"/>
    </xf>
    <xf numFmtId="171" fontId="36" fillId="5" borderId="17" xfId="0" applyNumberFormat="1" applyFont="1" applyFill="1" applyBorder="1" applyAlignment="1">
      <alignment horizontal="right" vertical="center"/>
    </xf>
    <xf numFmtId="172" fontId="36" fillId="5" borderId="15" xfId="0" applyNumberFormat="1" applyFont="1" applyFill="1" applyBorder="1" applyAlignment="1">
      <alignment horizontal="right" vertical="center"/>
    </xf>
    <xf numFmtId="172" fontId="36" fillId="5" borderId="17" xfId="0" applyNumberFormat="1" applyFont="1" applyFill="1" applyBorder="1" applyAlignment="1">
      <alignment horizontal="right" vertical="center"/>
    </xf>
    <xf numFmtId="173" fontId="36" fillId="5" borderId="15" xfId="0" applyNumberFormat="1" applyFont="1" applyFill="1" applyBorder="1" applyAlignment="1">
      <alignment horizontal="right" vertical="center"/>
    </xf>
    <xf numFmtId="173" fontId="36" fillId="5" borderId="17" xfId="0" applyNumberFormat="1" applyFont="1" applyFill="1" applyBorder="1" applyAlignment="1">
      <alignment horizontal="right" vertical="center"/>
    </xf>
    <xf numFmtId="174" fontId="36" fillId="5" borderId="15" xfId="0" applyNumberFormat="1" applyFont="1" applyFill="1" applyBorder="1" applyAlignment="1">
      <alignment horizontal="right" vertical="center"/>
    </xf>
    <xf numFmtId="174" fontId="36" fillId="5" borderId="17" xfId="0" applyNumberFormat="1" applyFont="1" applyFill="1" applyBorder="1" applyAlignment="1">
      <alignment horizontal="right" vertical="center"/>
    </xf>
    <xf numFmtId="10" fontId="36" fillId="5" borderId="15" xfId="0" applyNumberFormat="1" applyFont="1" applyFill="1" applyBorder="1" applyAlignment="1">
      <alignment horizontal="right" vertical="center"/>
    </xf>
    <xf numFmtId="10" fontId="36" fillId="5" borderId="10" xfId="0" applyNumberFormat="1" applyFont="1" applyFill="1" applyBorder="1" applyAlignment="1">
      <alignment horizontal="right" vertical="center"/>
    </xf>
    <xf numFmtId="168" fontId="36" fillId="5" borderId="13" xfId="0" applyNumberFormat="1" applyFont="1" applyFill="1" applyBorder="1" applyAlignment="1">
      <alignment horizontal="right" vertical="center"/>
    </xf>
    <xf numFmtId="168" fontId="36" fillId="5" borderId="17" xfId="0" applyNumberFormat="1" applyFont="1" applyFill="1" applyBorder="1" applyAlignment="1">
      <alignment horizontal="right" vertical="center"/>
    </xf>
    <xf numFmtId="4" fontId="38" fillId="4" borderId="72" xfId="0" applyNumberFormat="1" applyFont="1" applyFill="1" applyBorder="1" applyAlignment="1">
      <alignment horizontal="center" vertical="center"/>
    </xf>
    <xf numFmtId="4" fontId="38" fillId="4" borderId="73" xfId="0" applyNumberFormat="1" applyFont="1" applyFill="1" applyBorder="1" applyAlignment="1">
      <alignment horizontal="center" vertical="center"/>
    </xf>
    <xf numFmtId="4" fontId="36" fillId="5" borderId="55" xfId="0" applyNumberFormat="1" applyFont="1" applyFill="1" applyBorder="1" applyAlignment="1">
      <alignment horizontal="center" vertical="center"/>
    </xf>
    <xf numFmtId="4" fontId="36" fillId="5" borderId="75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7" xfId="0" applyNumberFormat="1" applyFont="1" applyFill="1" applyBorder="1" applyAlignment="1">
      <alignment horizontal="center" vertical="center"/>
    </xf>
    <xf numFmtId="4" fontId="36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8" fillId="0" borderId="6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7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9" borderId="167" xfId="0" applyNumberFormat="1" applyFont="1" applyFill="1" applyBorder="1" applyAlignment="1">
      <alignment horizontal="center" vertical="center"/>
    </xf>
    <xf numFmtId="168" fontId="37" fillId="0" borderId="64" xfId="0" applyNumberFormat="1" applyFont="1" applyBorder="1" applyAlignment="1">
      <alignment horizontal="right" vertical="center"/>
    </xf>
    <xf numFmtId="4" fontId="37" fillId="9" borderId="168" xfId="0" applyNumberFormat="1" applyFont="1" applyFill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168" fontId="37" fillId="0" borderId="69" xfId="0" applyNumberFormat="1" applyFont="1" applyBorder="1" applyAlignment="1">
      <alignment horizontal="right" vertical="center"/>
    </xf>
    <xf numFmtId="10" fontId="37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>
      <alignment horizontal="center" vertical="center"/>
    </xf>
    <xf numFmtId="175" fontId="18" fillId="0" borderId="15" xfId="0" applyNumberFormat="1" applyFont="1" applyBorder="1" applyAlignment="1">
      <alignment horizontal="center" vertical="center"/>
    </xf>
    <xf numFmtId="0" fontId="71" fillId="0" borderId="0" xfId="0" applyFont="1"/>
    <xf numFmtId="0" fontId="71" fillId="0" borderId="0" xfId="0" applyFont="1" applyAlignment="1">
      <alignment horizontal="right"/>
    </xf>
    <xf numFmtId="170" fontId="36" fillId="5" borderId="15" xfId="0" applyNumberFormat="1" applyFont="1" applyFill="1" applyBorder="1" applyAlignment="1">
      <alignment horizontal="center" vertical="center"/>
    </xf>
    <xf numFmtId="170" fontId="36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8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6" fillId="5" borderId="11" xfId="0" applyNumberFormat="1" applyFont="1" applyFill="1" applyBorder="1" applyAlignment="1">
      <alignment horizontal="centerContinuous" vertical="center"/>
    </xf>
    <xf numFmtId="170" fontId="36" fillId="5" borderId="16" xfId="0" applyNumberFormat="1" applyFont="1" applyFill="1" applyBorder="1" applyAlignment="1">
      <alignment horizontal="centerContinuous" vertical="center"/>
    </xf>
    <xf numFmtId="4" fontId="35" fillId="5" borderId="11" xfId="0" applyNumberFormat="1" applyFont="1" applyFill="1" applyBorder="1" applyAlignment="1">
      <alignment horizontal="center" vertical="center"/>
    </xf>
    <xf numFmtId="170" fontId="36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9" fillId="4" borderId="21" xfId="9" applyFont="1" applyFill="1" applyBorder="1" applyAlignment="1" applyProtection="1">
      <alignment horizontal="center" vertical="center"/>
      <protection hidden="1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9" fillId="4" borderId="4" xfId="9" applyFont="1" applyFill="1" applyBorder="1" applyAlignment="1" applyProtection="1">
      <alignment horizontal="center" vertical="center"/>
      <protection hidden="1"/>
    </xf>
    <xf numFmtId="0" fontId="29" fillId="4" borderId="5" xfId="0" applyFont="1" applyFill="1" applyBorder="1" applyAlignment="1">
      <alignment horizontal="center" vertical="center"/>
    </xf>
    <xf numFmtId="0" fontId="38" fillId="3" borderId="164" xfId="0" applyFont="1" applyFill="1" applyBorder="1" applyAlignment="1">
      <alignment horizontal="centerContinuous" vertical="center"/>
    </xf>
    <xf numFmtId="0" fontId="38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9" fillId="4" borderId="175" xfId="0" applyFont="1" applyFill="1" applyBorder="1" applyAlignment="1">
      <alignment horizontal="center" vertical="center"/>
    </xf>
    <xf numFmtId="0" fontId="29" fillId="4" borderId="176" xfId="0" applyFont="1" applyFill="1" applyBorder="1" applyAlignment="1">
      <alignment horizontal="center" vertical="center"/>
    </xf>
    <xf numFmtId="0" fontId="29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37" fillId="0" borderId="58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8" fillId="0" borderId="2" xfId="0" applyNumberFormat="1" applyFont="1" applyBorder="1" applyAlignment="1">
      <alignment horizontal="center" vertical="center"/>
    </xf>
    <xf numFmtId="0" fontId="95" fillId="0" borderId="23" xfId="6" applyFont="1" applyBorder="1" applyAlignment="1">
      <alignment horizontal="centerContinuous" vertical="center"/>
    </xf>
    <xf numFmtId="0" fontId="95" fillId="0" borderId="24" xfId="6" applyFont="1" applyBorder="1" applyAlignment="1">
      <alignment horizontal="centerContinuous" vertical="center"/>
    </xf>
    <xf numFmtId="0" fontId="95" fillId="0" borderId="42" xfId="6" applyFont="1" applyBorder="1" applyAlignment="1">
      <alignment horizontal="centerContinuous" vertical="center"/>
    </xf>
    <xf numFmtId="0" fontId="97" fillId="0" borderId="0" xfId="6" applyFont="1" applyAlignment="1">
      <alignment horizontal="center" wrapText="1"/>
    </xf>
    <xf numFmtId="43" fontId="96" fillId="40" borderId="58" xfId="7" applyFont="1" applyFill="1" applyBorder="1" applyProtection="1">
      <protection hidden="1"/>
    </xf>
    <xf numFmtId="43" fontId="96" fillId="40" borderId="46" xfId="7" applyFont="1" applyFill="1" applyBorder="1" applyProtection="1">
      <protection hidden="1"/>
    </xf>
    <xf numFmtId="0" fontId="98" fillId="0" borderId="40" xfId="6" applyFont="1" applyBorder="1" applyAlignment="1">
      <alignment wrapText="1"/>
    </xf>
    <xf numFmtId="0" fontId="98" fillId="0" borderId="0" xfId="6" applyFont="1" applyAlignment="1">
      <alignment wrapText="1"/>
    </xf>
    <xf numFmtId="15" fontId="99" fillId="0" borderId="0" xfId="6" applyNumberFormat="1" applyFont="1" applyProtection="1">
      <protection hidden="1"/>
    </xf>
    <xf numFmtId="43" fontId="99" fillId="0" borderId="0" xfId="62" applyFont="1" applyBorder="1" applyProtection="1">
      <protection hidden="1"/>
    </xf>
    <xf numFmtId="0" fontId="98" fillId="41" borderId="0" xfId="6" applyFont="1" applyFill="1" applyAlignment="1">
      <alignment wrapText="1"/>
    </xf>
    <xf numFmtId="0" fontId="98" fillId="41" borderId="41" xfId="6" applyFont="1" applyFill="1" applyBorder="1" applyAlignment="1">
      <alignment wrapText="1"/>
    </xf>
    <xf numFmtId="43" fontId="96" fillId="40" borderId="47" xfId="7" applyFont="1" applyFill="1" applyBorder="1" applyProtection="1">
      <protection hidden="1"/>
    </xf>
    <xf numFmtId="0" fontId="98" fillId="0" borderId="41" xfId="6" applyFont="1" applyBorder="1" applyAlignment="1">
      <alignment wrapText="1"/>
    </xf>
    <xf numFmtId="0" fontId="98" fillId="0" borderId="40" xfId="6" applyFont="1" applyBorder="1"/>
    <xf numFmtId="0" fontId="98" fillId="0" borderId="0" xfId="6" applyFont="1"/>
    <xf numFmtId="0" fontId="98" fillId="0" borderId="41" xfId="6" applyFont="1" applyBorder="1"/>
    <xf numFmtId="43" fontId="96" fillId="40" borderId="48" xfId="7" applyFont="1" applyFill="1" applyBorder="1" applyProtection="1">
      <protection hidden="1"/>
    </xf>
    <xf numFmtId="0" fontId="98" fillId="0" borderId="42" xfId="6" applyFont="1" applyBorder="1"/>
    <xf numFmtId="0" fontId="98" fillId="0" borderId="129" xfId="6" applyFont="1" applyBorder="1"/>
    <xf numFmtId="15" fontId="99" fillId="0" borderId="129" xfId="6" applyNumberFormat="1" applyFont="1" applyBorder="1" applyProtection="1">
      <protection hidden="1"/>
    </xf>
    <xf numFmtId="43" fontId="99" fillId="0" borderId="129" xfId="62" applyFont="1" applyBorder="1" applyProtection="1">
      <protection hidden="1"/>
    </xf>
    <xf numFmtId="0" fontId="98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0" fontId="38" fillId="3" borderId="23" xfId="2" applyFont="1" applyFill="1" applyBorder="1" applyAlignment="1">
      <alignment horizontal="centerContinuous" vertical="center"/>
    </xf>
    <xf numFmtId="0" fontId="38" fillId="3" borderId="56" xfId="2" applyFont="1" applyFill="1" applyBorder="1" applyAlignment="1">
      <alignment horizontal="centerContinuous" vertical="center"/>
    </xf>
    <xf numFmtId="0" fontId="38" fillId="3" borderId="24" xfId="2" applyFont="1" applyFill="1" applyBorder="1" applyAlignment="1">
      <alignment horizontal="centerContinuous" vertical="center"/>
    </xf>
    <xf numFmtId="4" fontId="18" fillId="0" borderId="26" xfId="0" applyNumberFormat="1" applyFont="1" applyBorder="1" applyAlignment="1">
      <alignment horizontal="center" vertical="center"/>
    </xf>
    <xf numFmtId="0" fontId="30" fillId="2" borderId="23" xfId="0" applyFont="1" applyFill="1" applyBorder="1" applyAlignment="1">
      <alignment horizontal="centerContinuous" vertical="center"/>
    </xf>
    <xf numFmtId="0" fontId="30" fillId="2" borderId="56" xfId="0" applyFont="1" applyFill="1" applyBorder="1" applyAlignment="1">
      <alignment horizontal="centerContinuous" vertical="center"/>
    </xf>
    <xf numFmtId="0" fontId="30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7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9" fillId="3" borderId="183" xfId="0" applyFont="1" applyFill="1" applyBorder="1" applyAlignment="1">
      <alignment horizontal="centerContinuous" vertical="center"/>
    </xf>
    <xf numFmtId="0" fontId="29" fillId="4" borderId="61" xfId="0" applyFont="1" applyFill="1" applyBorder="1" applyAlignment="1">
      <alignment horizontal="center" vertical="center"/>
    </xf>
    <xf numFmtId="0" fontId="29" fillId="4" borderId="62" xfId="0" applyFont="1" applyFill="1" applyBorder="1" applyAlignment="1">
      <alignment horizontal="center" vertical="center"/>
    </xf>
    <xf numFmtId="0" fontId="29" fillId="4" borderId="137" xfId="0" applyFont="1" applyFill="1" applyBorder="1" applyAlignment="1">
      <alignment horizontal="center" vertical="center"/>
    </xf>
    <xf numFmtId="0" fontId="29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168" fontId="69" fillId="0" borderId="0" xfId="0" applyNumberFormat="1" applyFont="1" applyAlignment="1">
      <alignment horizontal="left"/>
    </xf>
    <xf numFmtId="0" fontId="72" fillId="0" borderId="0" xfId="0" applyFont="1"/>
    <xf numFmtId="0" fontId="100" fillId="7" borderId="23" xfId="0" applyFont="1" applyFill="1" applyBorder="1" applyAlignment="1">
      <alignment horizontal="centerContinuous"/>
    </xf>
    <xf numFmtId="0" fontId="100" fillId="7" borderId="56" xfId="0" applyFont="1" applyFill="1" applyBorder="1" applyAlignment="1">
      <alignment horizontal="centerContinuous"/>
    </xf>
    <xf numFmtId="0" fontId="100" fillId="7" borderId="42" xfId="0" applyFont="1" applyFill="1" applyBorder="1" applyAlignment="1">
      <alignment horizontal="centerContinuous"/>
    </xf>
    <xf numFmtId="0" fontId="100" fillId="7" borderId="129" xfId="0" applyFont="1" applyFill="1" applyBorder="1" applyAlignment="1">
      <alignment horizontal="centerContinuous"/>
    </xf>
    <xf numFmtId="0" fontId="37" fillId="0" borderId="24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10" fontId="0" fillId="0" borderId="0" xfId="0" applyNumberFormat="1"/>
    <xf numFmtId="0" fontId="101" fillId="0" borderId="0" xfId="0" applyFont="1" applyAlignment="1">
      <alignment wrapText="1"/>
    </xf>
    <xf numFmtId="0" fontId="34" fillId="42" borderId="0" xfId="0" applyFont="1" applyFill="1"/>
    <xf numFmtId="4" fontId="0" fillId="42" borderId="0" xfId="0" applyNumberFormat="1" applyFill="1"/>
    <xf numFmtId="168" fontId="37" fillId="0" borderId="15" xfId="0" applyNumberFormat="1" applyFont="1" applyBorder="1" applyAlignment="1">
      <alignment horizontal="right" vertical="center"/>
    </xf>
    <xf numFmtId="168" fontId="37" fillId="0" borderId="16" xfId="0" applyNumberFormat="1" applyFont="1" applyBorder="1" applyAlignment="1">
      <alignment horizontal="right" vertical="center"/>
    </xf>
    <xf numFmtId="168" fontId="37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7" fillId="0" borderId="65" xfId="0" applyNumberFormat="1" applyFont="1" applyBorder="1" applyAlignment="1">
      <alignment horizontal="right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68" fontId="37" fillId="0" borderId="70" xfId="0" applyNumberFormat="1" applyFont="1" applyBorder="1" applyAlignment="1">
      <alignment horizontal="right" vertical="center"/>
    </xf>
    <xf numFmtId="15" fontId="38" fillId="4" borderId="61" xfId="0" applyNumberFormat="1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7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8" fillId="4" borderId="184" xfId="0" applyNumberFormat="1" applyFont="1" applyFill="1" applyBorder="1" applyAlignment="1">
      <alignment horizontal="center" vertical="center"/>
    </xf>
    <xf numFmtId="0" fontId="38" fillId="4" borderId="185" xfId="0" applyFont="1" applyFill="1" applyBorder="1" applyAlignment="1">
      <alignment horizontal="center" vertical="center"/>
    </xf>
    <xf numFmtId="0" fontId="38" fillId="4" borderId="186" xfId="0" applyFont="1" applyFill="1" applyBorder="1" applyAlignment="1">
      <alignment horizontal="center" vertical="center"/>
    </xf>
    <xf numFmtId="4" fontId="37" fillId="9" borderId="16" xfId="0" applyNumberFormat="1" applyFont="1" applyFill="1" applyBorder="1" applyAlignment="1">
      <alignment horizontal="center" vertical="center"/>
    </xf>
    <xf numFmtId="0" fontId="38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7" fillId="0" borderId="66" xfId="0" applyNumberFormat="1" applyFont="1" applyBorder="1" applyAlignment="1">
      <alignment horizontal="center" vertical="center"/>
    </xf>
    <xf numFmtId="169" fontId="37" fillId="0" borderId="68" xfId="0" applyNumberFormat="1" applyFont="1" applyBorder="1" applyAlignment="1">
      <alignment horizontal="center" vertical="center"/>
    </xf>
    <xf numFmtId="169" fontId="37" fillId="0" borderId="71" xfId="0" applyNumberFormat="1" applyFont="1" applyBorder="1" applyAlignment="1">
      <alignment horizontal="center" vertical="center"/>
    </xf>
    <xf numFmtId="169" fontId="37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7" fillId="43" borderId="67" xfId="0" applyNumberFormat="1" applyFont="1" applyFill="1" applyBorder="1" applyAlignment="1">
      <alignment horizontal="center" vertical="center"/>
    </xf>
    <xf numFmtId="168" fontId="37" fillId="43" borderId="16" xfId="0" applyNumberFormat="1" applyFont="1" applyFill="1" applyBorder="1" applyAlignment="1">
      <alignment horizontal="right" vertical="center"/>
    </xf>
    <xf numFmtId="169" fontId="37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0" applyNumberFormat="1" applyAlignment="1">
      <alignment horizontal="right"/>
    </xf>
    <xf numFmtId="186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4" fillId="0" borderId="0" xfId="0" applyNumberFormat="1" applyFont="1"/>
    <xf numFmtId="168" fontId="34" fillId="0" borderId="0" xfId="0" quotePrefix="1" applyNumberFormat="1" applyFont="1"/>
    <xf numFmtId="4" fontId="56" fillId="0" borderId="6" xfId="0" applyNumberFormat="1" applyFont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96" fillId="2" borderId="44" xfId="6" applyFont="1" applyFill="1" applyBorder="1" applyAlignment="1">
      <alignment horizontal="center"/>
    </xf>
    <xf numFmtId="0" fontId="96" fillId="2" borderId="82" xfId="6" applyFont="1" applyFill="1" applyBorder="1" applyAlignment="1">
      <alignment horizontal="center"/>
    </xf>
    <xf numFmtId="0" fontId="96" fillId="2" borderId="45" xfId="6" applyFont="1" applyFill="1" applyBorder="1" applyAlignment="1">
      <alignment horizontal="center"/>
    </xf>
    <xf numFmtId="0" fontId="96" fillId="2" borderId="24" xfId="6" applyFont="1" applyFill="1" applyBorder="1" applyAlignment="1" applyProtection="1">
      <alignment horizontal="center" vertical="center" textRotation="90" wrapText="1"/>
      <protection hidden="1"/>
    </xf>
    <xf numFmtId="0" fontId="96" fillId="2" borderId="41" xfId="6" applyFont="1" applyFill="1" applyBorder="1" applyAlignment="1" applyProtection="1">
      <alignment horizontal="center" vertical="center" textRotation="90" wrapText="1"/>
      <protection hidden="1"/>
    </xf>
    <xf numFmtId="0" fontId="38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8" fillId="3" borderId="4" xfId="0" applyNumberFormat="1" applyFont="1" applyFill="1" applyBorder="1" applyAlignment="1">
      <alignment horizontal="center" vertical="center" textRotation="90"/>
    </xf>
    <xf numFmtId="0" fontId="38" fillId="3" borderId="7" xfId="0" applyFont="1" applyFill="1" applyBorder="1" applyAlignment="1">
      <alignment horizontal="center" vertical="center" textRotation="90"/>
    </xf>
    <xf numFmtId="0" fontId="38" fillId="3" borderId="51" xfId="0" applyFont="1" applyFill="1" applyBorder="1" applyAlignment="1">
      <alignment horizontal="center" vertical="center" textRotation="90"/>
    </xf>
    <xf numFmtId="0" fontId="29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10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topLeftCell="A19" zoomScale="130" zoomScaleNormal="130" workbookViewId="0">
      <selection activeCell="B34" sqref="B34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 ca="1"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83" t="s">
        <v>410</v>
      </c>
      <c r="C4" s="884"/>
      <c r="D4" s="887" t="s">
        <v>670</v>
      </c>
      <c r="I4" s="439"/>
    </row>
    <row r="5" spans="2:9" s="417" customFormat="1">
      <c r="B5" s="885" t="s">
        <v>411</v>
      </c>
      <c r="C5" s="886"/>
      <c r="D5" s="888" t="str" cm="1">
        <f t="array" aca="1" ref="D5" ca="1">_xll.d.Debug_GetAssemblyVersion()</f>
        <v>0.1.4</v>
      </c>
      <c r="I5" s="439"/>
    </row>
    <row r="6" spans="2:9" s="417" customFormat="1">
      <c r="B6" s="332" t="s">
        <v>412</v>
      </c>
      <c r="C6" s="454"/>
      <c r="D6" s="164" t="str" cm="1">
        <f t="array" aca="1" ref="D6" ca="1">_xll.d.TestUtils_Equal(D4,D5,,TRUE)</f>
        <v>Warning</v>
      </c>
      <c r="I6" s="439"/>
    </row>
    <row r="7" spans="2:9" s="417" customFormat="1"/>
    <row r="8" spans="2:9" s="417" customFormat="1">
      <c r="F8" s="1"/>
    </row>
    <row r="9" spans="2:9" s="439" customFormat="1">
      <c r="B9" s="200" t="s">
        <v>447</v>
      </c>
      <c r="C9" s="200"/>
    </row>
    <row r="10" spans="2:9" s="439" customFormat="1" ht="18.75" customHeight="1">
      <c r="B10" s="951" t="str" cm="1">
        <f t="array" aca="1" ref="B10" ca="1">_xll.d.TestUtils_And(C19:C21,C24:C25,C28:C29,C33:C36,C40:C43)</f>
        <v>Ok</v>
      </c>
      <c r="C10" s="951"/>
      <c r="D10" s="613" t="s">
        <v>669</v>
      </c>
    </row>
    <row r="11" spans="2:9" s="439" customFormat="1" ht="15" customHeight="1">
      <c r="B11" s="952"/>
      <c r="C11" s="952"/>
      <c r="D11" s="882" t="s">
        <v>673</v>
      </c>
    </row>
    <row r="12" spans="2:9" s="439" customFormat="1"/>
    <row r="13" spans="2:9" s="439" customFormat="1">
      <c r="F13" s="1"/>
    </row>
    <row r="14" spans="2:9">
      <c r="B14" s="332" t="s">
        <v>98</v>
      </c>
      <c r="C14" s="201"/>
    </row>
    <row r="15" spans="2:9">
      <c r="B15" s="603" t="s">
        <v>550</v>
      </c>
      <c r="C15" s="604"/>
      <c r="F15" s="439"/>
    </row>
    <row r="16" spans="2:9">
      <c r="B16" s="605" t="s">
        <v>551</v>
      </c>
      <c r="C16" s="606"/>
      <c r="F16" s="439"/>
    </row>
    <row r="17" spans="2:9">
      <c r="F17" s="439"/>
    </row>
    <row r="18" spans="2:9">
      <c r="B18" s="121" t="s">
        <v>244</v>
      </c>
      <c r="C18" s="122"/>
      <c r="F18" s="439"/>
    </row>
    <row r="19" spans="2:9">
      <c r="B19" s="412" t="s">
        <v>0</v>
      </c>
      <c r="C19" s="124" t="str">
        <f ca="1">Dates!C4</f>
        <v>Ok</v>
      </c>
      <c r="F19" s="439"/>
    </row>
    <row r="20" spans="2:9">
      <c r="B20" s="413" t="s">
        <v>340</v>
      </c>
      <c r="C20" s="126" t="str">
        <f ca="1">Mathematics!C4</f>
        <v>Ok</v>
      </c>
      <c r="F20" s="439"/>
      <c r="I20" s="439"/>
    </row>
    <row r="21" spans="2:9">
      <c r="B21" s="414" t="s">
        <v>363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393</v>
      </c>
      <c r="C23" s="429"/>
    </row>
    <row r="24" spans="2:9">
      <c r="B24" s="595" t="s">
        <v>518</v>
      </c>
      <c r="C24" s="300" t="str">
        <f ca="1">'Equity Pricers'!C4</f>
        <v>Ok</v>
      </c>
    </row>
    <row r="25" spans="2:9" s="439" customFormat="1">
      <c r="B25" s="414" t="s">
        <v>394</v>
      </c>
      <c r="C25" s="300" t="str">
        <f ca="1">'Equity Utils'!C4</f>
        <v>Ok</v>
      </c>
    </row>
    <row r="26" spans="2:9">
      <c r="C26" s="298"/>
      <c r="D26" s="439"/>
    </row>
    <row r="27" spans="2:9" s="439" customFormat="1">
      <c r="B27" s="428" t="s">
        <v>522</v>
      </c>
      <c r="C27" s="429"/>
    </row>
    <row r="28" spans="2:9" s="439" customFormat="1">
      <c r="B28" s="574" t="s">
        <v>521</v>
      </c>
      <c r="C28" s="300" t="str">
        <f ca="1">'FX Pricers'!C4</f>
        <v>Ok</v>
      </c>
    </row>
    <row r="29" spans="2:9" s="439" customFormat="1">
      <c r="B29" s="413" t="s">
        <v>674</v>
      </c>
      <c r="C29" s="300"/>
      <c r="D29" s="613" t="s">
        <v>671</v>
      </c>
    </row>
    <row r="30" spans="2:9" s="439" customFormat="1">
      <c r="B30" s="483" t="s">
        <v>676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650</v>
      </c>
      <c r="C34" s="279" t="str">
        <f ca="1">'Curve Bootstrapping'!C6</f>
        <v>Ok</v>
      </c>
    </row>
    <row r="35" spans="2:5">
      <c r="B35" s="574" t="s">
        <v>504</v>
      </c>
      <c r="C35" s="280" t="str">
        <f ca="1">'Interest Rate Pricers'!C4</f>
        <v>Ok</v>
      </c>
      <c r="D35" s="439"/>
    </row>
    <row r="36" spans="2:5">
      <c r="B36" s="413" t="s">
        <v>390</v>
      </c>
      <c r="C36" s="279" t="str">
        <f ca="1"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671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564</v>
      </c>
      <c r="C40" s="320" t="str">
        <f ca="1">'Fix EMS Links Utils'!C4</f>
        <v>Ok</v>
      </c>
      <c r="D40" s="613"/>
    </row>
    <row r="41" spans="2:5">
      <c r="B41" s="482" t="s">
        <v>537</v>
      </c>
      <c r="C41" s="279" t="str">
        <f ca="1">'Hyperlink Utils'!C4</f>
        <v>Ok</v>
      </c>
      <c r="D41" s="613" t="s">
        <v>672</v>
      </c>
    </row>
    <row r="42" spans="2:5">
      <c r="B42" s="482" t="s">
        <v>70</v>
      </c>
      <c r="C42" s="631" t="str">
        <f ca="1">'Table Formatting'!C4</f>
        <v>Ok</v>
      </c>
      <c r="D42" s="613" t="s">
        <v>672</v>
      </c>
    </row>
    <row r="43" spans="2:5">
      <c r="B43" s="414" t="s">
        <v>155</v>
      </c>
      <c r="C43" s="632" t="str">
        <f ca="1">'Test Utils'!C4</f>
        <v>Ok</v>
      </c>
    </row>
    <row r="45" spans="2:5">
      <c r="E45" s="164"/>
    </row>
    <row r="51" spans="2:7">
      <c r="C51" s="8"/>
    </row>
    <row r="52" spans="2:7">
      <c r="C52" s="8"/>
    </row>
    <row r="53" spans="2:7">
      <c r="C53" s="8"/>
    </row>
    <row r="54" spans="2:7">
      <c r="B54" t="s">
        <v>710</v>
      </c>
      <c r="C54" s="8">
        <v>44927</v>
      </c>
    </row>
    <row r="55" spans="2:7">
      <c r="C55" s="8"/>
    </row>
    <row r="56" spans="2:7" s="439" customFormat="1">
      <c r="B56" s="58" t="s">
        <v>711</v>
      </c>
      <c r="C56" s="8"/>
      <c r="D56" s="949">
        <v>44651</v>
      </c>
      <c r="E56" s="949">
        <v>44742</v>
      </c>
      <c r="F56" s="949">
        <v>44834</v>
      </c>
      <c r="G56" s="949">
        <v>44926</v>
      </c>
    </row>
    <row r="57" spans="2:7">
      <c r="B57" s="58" t="s">
        <v>398</v>
      </c>
      <c r="C57" s="949">
        <v>44927</v>
      </c>
      <c r="D57" s="949">
        <v>45016</v>
      </c>
      <c r="E57" s="949">
        <v>45107</v>
      </c>
      <c r="F57" s="949">
        <v>45199</v>
      </c>
      <c r="G57" s="949">
        <v>45291</v>
      </c>
    </row>
    <row r="58" spans="2:7">
      <c r="B58" s="58" t="s">
        <v>708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>
      <c r="B59" s="58" t="s">
        <v>709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>
      <c r="C60" s="8"/>
    </row>
    <row r="61" spans="2:7">
      <c r="C61" s="9">
        <f ca="1">C58/C59</f>
        <v>1</v>
      </c>
      <c r="D61" s="9">
        <f ca="1">D58/D59</f>
        <v>1.0091743119266054</v>
      </c>
      <c r="E61" s="9">
        <f ca="1">E58/E59</f>
        <v>0.99173553719008267</v>
      </c>
      <c r="F61" s="9">
        <f ca="1">F58/F59</f>
        <v>1.0077519379844961</v>
      </c>
      <c r="G61" s="9">
        <f ca="1">G58/G59</f>
        <v>0.9859154929577465</v>
      </c>
    </row>
    <row r="62" spans="2:7">
      <c r="C62" s="950" t="s">
        <v>712</v>
      </c>
    </row>
    <row r="63" spans="2:7">
      <c r="C63" s="8"/>
    </row>
    <row r="64" spans="2:7">
      <c r="B64" s="10"/>
    </row>
    <row r="66" spans="2:9">
      <c r="B66" s="10"/>
    </row>
    <row r="70" spans="2:9">
      <c r="B70" s="1"/>
    </row>
    <row r="75" spans="2:9">
      <c r="B75" s="8"/>
      <c r="D75" s="814"/>
    </row>
    <row r="76" spans="2:9">
      <c r="B76" s="8"/>
      <c r="D76" s="814"/>
    </row>
    <row r="77" spans="2:9">
      <c r="B77" s="8"/>
      <c r="D77" s="814"/>
      <c r="I77" s="948"/>
    </row>
    <row r="78" spans="2:9">
      <c r="B78" s="8"/>
      <c r="D78" s="814"/>
      <c r="I78" s="948"/>
    </row>
    <row r="79" spans="2:9">
      <c r="B79" s="8"/>
      <c r="D79" s="814"/>
      <c r="I79" s="948"/>
    </row>
    <row r="80" spans="2:9">
      <c r="B80" s="8"/>
      <c r="D80" s="814"/>
    </row>
    <row r="81" spans="2:9">
      <c r="B81" s="8"/>
      <c r="D81" s="814"/>
    </row>
    <row r="82" spans="2:9">
      <c r="B82" s="8"/>
      <c r="D82" s="814"/>
    </row>
    <row r="83" spans="2:9">
      <c r="B83" s="8"/>
      <c r="D83" s="814"/>
      <c r="I83" s="815"/>
    </row>
    <row r="84" spans="2:9">
      <c r="B84" s="8"/>
      <c r="D84" s="814"/>
      <c r="I84" s="815"/>
    </row>
    <row r="85" spans="2:9">
      <c r="B85" s="8"/>
      <c r="D85" s="814"/>
      <c r="I85" s="815"/>
    </row>
    <row r="86" spans="2:9">
      <c r="B86" s="8"/>
      <c r="D86" s="814"/>
      <c r="I86" s="815"/>
    </row>
    <row r="87" spans="2:9">
      <c r="B87" s="8"/>
      <c r="D87" s="814"/>
      <c r="I87" s="815"/>
    </row>
    <row r="88" spans="2:9">
      <c r="I88" s="815"/>
    </row>
    <row r="89" spans="2:9">
      <c r="I89" s="815"/>
    </row>
  </sheetData>
  <mergeCells count="1">
    <mergeCell ref="B10:C11"/>
  </mergeCells>
  <conditionalFormatting sqref="C19 C25 C33 C35">
    <cfRule type="cellIs" dxfId="909" priority="47" stopIfTrue="1" operator="equal">
      <formula>"ERROR"</formula>
    </cfRule>
    <cfRule type="cellIs" dxfId="908" priority="48" stopIfTrue="1" operator="equal">
      <formula>"OK"</formula>
    </cfRule>
    <cfRule type="cellIs" dxfId="907" priority="49" stopIfTrue="1" operator="equal">
      <formula>"WARNING"</formula>
    </cfRule>
  </conditionalFormatting>
  <conditionalFormatting sqref="C20">
    <cfRule type="cellIs" dxfId="906" priority="40" stopIfTrue="1" operator="equal">
      <formula>"ERROR"</formula>
    </cfRule>
    <cfRule type="cellIs" dxfId="905" priority="41" stopIfTrue="1" operator="equal">
      <formula>"OK"</formula>
    </cfRule>
    <cfRule type="cellIs" dxfId="904" priority="42" stopIfTrue="1" operator="equal">
      <formula>"WARNING"</formula>
    </cfRule>
  </conditionalFormatting>
  <conditionalFormatting sqref="C21">
    <cfRule type="cellIs" dxfId="903" priority="37" stopIfTrue="1" operator="equal">
      <formula>"ERROR"</formula>
    </cfRule>
    <cfRule type="cellIs" dxfId="902" priority="38" stopIfTrue="1" operator="equal">
      <formula>"OK"</formula>
    </cfRule>
    <cfRule type="cellIs" dxfId="901" priority="39" stopIfTrue="1" operator="equal">
      <formula>"WARNING"</formula>
    </cfRule>
  </conditionalFormatting>
  <conditionalFormatting sqref="D6">
    <cfRule type="cellIs" dxfId="900" priority="53" stopIfTrue="1" operator="equal">
      <formula>"ERROR"</formula>
    </cfRule>
    <cfRule type="cellIs" dxfId="899" priority="54" stopIfTrue="1" operator="equal">
      <formula>"OK"</formula>
    </cfRule>
    <cfRule type="cellIs" dxfId="898" priority="55" stopIfTrue="1" operator="equal">
      <formula>"WARNING"</formula>
    </cfRule>
  </conditionalFormatting>
  <conditionalFormatting sqref="C36">
    <cfRule type="cellIs" dxfId="897" priority="34" stopIfTrue="1" operator="equal">
      <formula>"ERROR"</formula>
    </cfRule>
    <cfRule type="cellIs" dxfId="896" priority="35" stopIfTrue="1" operator="equal">
      <formula>"OK"</formula>
    </cfRule>
    <cfRule type="cellIs" dxfId="895" priority="36" stopIfTrue="1" operator="equal">
      <formula>"WARNING"</formula>
    </cfRule>
  </conditionalFormatting>
  <conditionalFormatting sqref="B10:C11">
    <cfRule type="cellIs" dxfId="894" priority="31" stopIfTrue="1" operator="equal">
      <formula>"ERROR"</formula>
    </cfRule>
    <cfRule type="cellIs" dxfId="893" priority="32" stopIfTrue="1" operator="equal">
      <formula>"OK"</formula>
    </cfRule>
    <cfRule type="cellIs" dxfId="892" priority="33" stopIfTrue="1" operator="equal">
      <formula>"WARNING"</formula>
    </cfRule>
  </conditionalFormatting>
  <conditionalFormatting sqref="C34">
    <cfRule type="cellIs" dxfId="891" priority="59" stopIfTrue="1" operator="equal">
      <formula>"ERROR"</formula>
    </cfRule>
    <cfRule type="cellIs" dxfId="890" priority="60" stopIfTrue="1" operator="equal">
      <formula>"OK"</formula>
    </cfRule>
    <cfRule type="cellIs" dxfId="889" priority="61" stopIfTrue="1" operator="equal">
      <formula>"WARNING"</formula>
    </cfRule>
  </conditionalFormatting>
  <conditionalFormatting sqref="C24">
    <cfRule type="cellIs" dxfId="888" priority="19" stopIfTrue="1" operator="equal">
      <formula>"ERROR"</formula>
    </cfRule>
    <cfRule type="cellIs" dxfId="887" priority="20" stopIfTrue="1" operator="equal">
      <formula>"OK"</formula>
    </cfRule>
    <cfRule type="cellIs" dxfId="886" priority="21" stopIfTrue="1" operator="equal">
      <formula>"WARNING"</formula>
    </cfRule>
  </conditionalFormatting>
  <conditionalFormatting sqref="C40:C41">
    <cfRule type="cellIs" dxfId="885" priority="13" stopIfTrue="1" operator="equal">
      <formula>"ERROR"</formula>
    </cfRule>
    <cfRule type="cellIs" dxfId="884" priority="14" stopIfTrue="1" operator="equal">
      <formula>"OK"</formula>
    </cfRule>
    <cfRule type="cellIs" dxfId="883" priority="15" stopIfTrue="1" operator="equal">
      <formula>"WARNING"</formula>
    </cfRule>
  </conditionalFormatting>
  <conditionalFormatting sqref="C43">
    <cfRule type="cellIs" dxfId="882" priority="10" stopIfTrue="1" operator="equal">
      <formula>"ERROR"</formula>
    </cfRule>
    <cfRule type="cellIs" dxfId="881" priority="11" stopIfTrue="1" operator="equal">
      <formula>"OK"</formula>
    </cfRule>
    <cfRule type="cellIs" dxfId="880" priority="12" stopIfTrue="1" operator="equal">
      <formula>"WARNING"</formula>
    </cfRule>
  </conditionalFormatting>
  <conditionalFormatting sqref="C42">
    <cfRule type="cellIs" dxfId="879" priority="7" stopIfTrue="1" operator="equal">
      <formula>"ERROR"</formula>
    </cfRule>
    <cfRule type="cellIs" dxfId="878" priority="8" stopIfTrue="1" operator="equal">
      <formula>"OK"</formula>
    </cfRule>
    <cfRule type="cellIs" dxfId="877" priority="9" stopIfTrue="1" operator="equal">
      <formula>"WARNING"</formula>
    </cfRule>
  </conditionalFormatting>
  <conditionalFormatting sqref="C29:C30">
    <cfRule type="cellIs" dxfId="876" priority="4" stopIfTrue="1" operator="equal">
      <formula>"ERROR"</formula>
    </cfRule>
    <cfRule type="cellIs" dxfId="875" priority="5" stopIfTrue="1" operator="equal">
      <formula>"OK"</formula>
    </cfRule>
    <cfRule type="cellIs" dxfId="874" priority="6" stopIfTrue="1" operator="equal">
      <formula>"WARNING"</formula>
    </cfRule>
  </conditionalFormatting>
  <conditionalFormatting sqref="C28">
    <cfRule type="cellIs" dxfId="873" priority="1" stopIfTrue="1" operator="equal">
      <formula>"ERROR"</formula>
    </cfRule>
    <cfRule type="cellIs" dxfId="872" priority="2" stopIfTrue="1" operator="equal">
      <formula>"OK"</formula>
    </cfRule>
    <cfRule type="cellIs" dxfId="871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18" zoomScaleNormal="100" workbookViewId="0">
      <selection activeCell="C5" sqref="C5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389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aca="1" ref="C4" ca="1">_xll.d.TestUtils_And(D7:D20)</f>
        <v>Ok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497</v>
      </c>
      <c r="C7" s="415"/>
      <c r="D7" s="300" t="str">
        <f ca="1">C26</f>
        <v>Ok</v>
      </c>
    </row>
    <row r="8" spans="2:43">
      <c r="B8" s="415" t="s">
        <v>463</v>
      </c>
      <c r="C8" s="415"/>
      <c r="D8" s="300" t="str">
        <f ca="1">C38</f>
        <v>Ok</v>
      </c>
    </row>
    <row r="9" spans="2:43">
      <c r="B9" s="415" t="s">
        <v>467</v>
      </c>
      <c r="C9" s="415"/>
      <c r="D9" s="300" t="str">
        <f ca="1">C50</f>
        <v>Ok</v>
      </c>
    </row>
    <row r="10" spans="2:43">
      <c r="B10" s="415" t="s">
        <v>461</v>
      </c>
      <c r="C10" s="415"/>
      <c r="D10" s="300" t="str">
        <f ca="1">C62</f>
        <v>Ok</v>
      </c>
    </row>
    <row r="11" spans="2:43">
      <c r="B11" s="415" t="s">
        <v>380</v>
      </c>
      <c r="C11" s="415"/>
      <c r="D11" s="300" t="str">
        <f ca="1">C74</f>
        <v>Ok</v>
      </c>
    </row>
    <row r="12" spans="2:43">
      <c r="B12" s="415" t="s">
        <v>381</v>
      </c>
      <c r="C12" s="415"/>
      <c r="D12" s="300" t="str">
        <f ca="1">C89</f>
        <v>Ok</v>
      </c>
    </row>
    <row r="13" spans="2:43">
      <c r="B13" s="415" t="s">
        <v>382</v>
      </c>
      <c r="C13" s="415"/>
      <c r="D13" s="300" t="str">
        <f ca="1">C104</f>
        <v>Ok</v>
      </c>
    </row>
    <row r="14" spans="2:43">
      <c r="B14" s="415" t="s">
        <v>383</v>
      </c>
      <c r="C14" s="415"/>
      <c r="D14" s="300" t="str">
        <f ca="1">C119</f>
        <v>Ok</v>
      </c>
    </row>
    <row r="15" spans="2:43">
      <c r="B15" s="415" t="s">
        <v>384</v>
      </c>
      <c r="C15" s="415"/>
      <c r="D15" s="300" t="str">
        <f ca="1">C133</f>
        <v>Ok</v>
      </c>
    </row>
    <row r="16" spans="2:43">
      <c r="B16" s="415" t="s">
        <v>385</v>
      </c>
      <c r="C16" s="415"/>
      <c r="D16" s="300" t="str">
        <f ca="1">C178</f>
        <v>Ok</v>
      </c>
    </row>
    <row r="17" spans="2:7">
      <c r="B17" s="415" t="s">
        <v>386</v>
      </c>
      <c r="C17" s="415"/>
      <c r="D17" s="300" t="str">
        <f ca="1">C205</f>
        <v>Ok</v>
      </c>
    </row>
    <row r="18" spans="2:7">
      <c r="B18" s="415" t="s">
        <v>387</v>
      </c>
      <c r="C18" s="415"/>
      <c r="D18" s="300" t="str">
        <f ca="1">C221</f>
        <v>Ok</v>
      </c>
    </row>
    <row r="19" spans="2:7">
      <c r="B19" s="415" t="s">
        <v>388</v>
      </c>
      <c r="C19" s="415"/>
      <c r="D19" s="300" t="str">
        <f ca="1">C236</f>
        <v>Ok</v>
      </c>
    </row>
    <row r="20" spans="2:7">
      <c r="B20" s="415" t="s">
        <v>454</v>
      </c>
      <c r="C20" s="415"/>
      <c r="D20" s="300" t="str">
        <f ca="1">C250</f>
        <v>Ok</v>
      </c>
    </row>
    <row r="24" spans="2:7" ht="18.75">
      <c r="B24" s="3" t="s">
        <v>497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aca="1" ref="C26" ca="1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aca="1" ref="E31" ca="1">_xll.d.Dates_Act360(C31,C32)</f>
        <v>0.25555555555555554</v>
      </c>
      <c r="F31" s="535">
        <v>0.25555555555555554</v>
      </c>
      <c r="G31" s="310" t="str" cm="1">
        <f t="array" aca="1" ref="G31" ca="1">_xll.d.TestUtils_Equal(E31,F31)</f>
        <v>Ok</v>
      </c>
    </row>
    <row r="32" spans="2:7">
      <c r="B32" s="127" t="s">
        <v>234</v>
      </c>
      <c r="C32" s="321">
        <f>EDATE(C31,3)</f>
        <v>44834</v>
      </c>
    </row>
    <row r="36" spans="2:7" ht="18.75">
      <c r="B36" s="3" t="s">
        <v>463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aca="1" ref="C38" ca="1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aca="1" ref="E43" ca="1">_xll.d.Dates_Act360(C43,C44)</f>
        <v>0.25555555555555554</v>
      </c>
      <c r="F43" s="535">
        <f>(C44-C43)/360</f>
        <v>0.25555555555555554</v>
      </c>
      <c r="G43" s="310" t="str" cm="1">
        <f t="array" aca="1" ref="G43" ca="1">_xll.d.TestUtils_Equal(E43,F43)</f>
        <v>Ok</v>
      </c>
    </row>
    <row r="44" spans="2:7">
      <c r="B44" s="127" t="s">
        <v>234</v>
      </c>
      <c r="C44" s="321">
        <f>EDATE(C43,3)</f>
        <v>44834</v>
      </c>
    </row>
    <row r="48" spans="2:7" ht="18.75">
      <c r="B48" s="3" t="s">
        <v>467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aca="1" ref="C50" ca="1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aca="1" ref="E55" ca="1">_xll.d.Dates_Act364(C55,C56)</f>
        <v>0.25274725274725274</v>
      </c>
      <c r="F55" s="535">
        <f>(C56-C55)/364</f>
        <v>0.25274725274725274</v>
      </c>
      <c r="G55" s="310" t="str" cm="1">
        <f t="array" aca="1" ref="G55" ca="1">_xll.d.TestUtils_Equal(E55,F55)</f>
        <v>Ok</v>
      </c>
    </row>
    <row r="56" spans="2:7">
      <c r="B56" s="127" t="s">
        <v>234</v>
      </c>
      <c r="C56" s="321">
        <f>EDATE(C55,3)</f>
        <v>44834</v>
      </c>
    </row>
    <row r="60" spans="2:7" ht="18.75">
      <c r="B60" s="3" t="s">
        <v>461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aca="1" ref="C62" ca="1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aca="1" ref="E67" ca="1">_xll.d.Dates_Act365(C67,C68)</f>
        <v>0.25205479452054796</v>
      </c>
      <c r="F67" s="535">
        <f>(C68-C67)/365</f>
        <v>0.25205479452054796</v>
      </c>
      <c r="G67" s="310" t="str" cm="1">
        <f t="array" aca="1" ref="G67" ca="1">_xll.d.TestUtils_Equal(E67,F67)</f>
        <v>Ok</v>
      </c>
    </row>
    <row r="68" spans="2:43">
      <c r="B68" s="127" t="s">
        <v>234</v>
      </c>
      <c r="C68" s="321">
        <f>EDATE(C67,3)</f>
        <v>44834</v>
      </c>
    </row>
    <row r="72" spans="2:43" ht="18.75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</row>
    <row r="74" spans="2:43">
      <c r="B74" s="50" t="s">
        <v>141</v>
      </c>
      <c r="C74" s="300" t="str" cm="1">
        <f t="array" aca="1" ref="C74" ca="1">_xll.d.TestUtils_And(G79,N79,U79,AD79,AQ79)</f>
        <v>Ok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cm="1">
        <f t="array" aca="1" ref="E79" ca="1">_xll.d.Dates_FolDay(C79,B81:B83)</f>
        <v>44743</v>
      </c>
      <c r="F79" s="309">
        <v>44743</v>
      </c>
      <c r="G79" s="310" t="str" cm="1">
        <f t="array" aca="1" ref="G79" ca="1">_xll.d.TestUtils_Equal(E79,F79)</f>
        <v>Ok</v>
      </c>
      <c r="I79" s="303" t="s">
        <v>31</v>
      </c>
      <c r="J79" s="304">
        <v>44742</v>
      </c>
      <c r="L79" s="308" cm="1">
        <f t="array" aca="1" ref="L79" ca="1">_xll.d.Dates_FolDay(J79,I81:J83)</f>
        <v>44746</v>
      </c>
      <c r="M79" s="309">
        <v>44746</v>
      </c>
      <c r="N79" s="310" t="str" cm="1">
        <f t="array" aca="1" ref="N79" ca="1">_xll.d.TestUtils_Equal(L79,M79)</f>
        <v>Ok</v>
      </c>
      <c r="P79" s="123" t="s">
        <v>31</v>
      </c>
      <c r="Q79" s="301">
        <v>44728</v>
      </c>
      <c r="S79" s="308" cm="1">
        <f t="array" aca="1" ref="S79" ca="1">_xll.d.Dates_FolDay(Q79,Q80)</f>
        <v>44729</v>
      </c>
      <c r="T79" s="309">
        <v>44729</v>
      </c>
      <c r="U79" s="310" t="str" cm="1">
        <f t="array" aca="1" ref="U79" ca="1">_xll.d.TestUtils_Equal(S79,T79)</f>
        <v>Ok</v>
      </c>
      <c r="W79" s="123" t="s">
        <v>31</v>
      </c>
      <c r="X79" s="301">
        <v>44746</v>
      </c>
      <c r="Z79" s="536" cm="1">
        <f t="array" aca="1" ref="Z79" ca="1">_xll.d.Dates_FolDay(X79,X80)</f>
        <v>44747</v>
      </c>
      <c r="AA79" s="537"/>
      <c r="AB79" s="537">
        <v>44747</v>
      </c>
      <c r="AC79" s="537"/>
      <c r="AD79" s="310" t="str" cm="1">
        <f t="array" aca="1" ref="AD79" ca="1">_xll.d.TestUtils_Equal(Z79,AB79)</f>
        <v>Ok</v>
      </c>
      <c r="AF79" s="123" t="s">
        <v>31</v>
      </c>
      <c r="AG79" s="301">
        <v>44746</v>
      </c>
      <c r="AI79" s="536" t="str" cm="1">
        <f t="array" aca="1" ref="AI79" ca="1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aca="1" ref="AQ79" ca="1">_xll.d.TestUtils_Equal(AI79,AM79)</f>
        <v>Ok</v>
      </c>
    </row>
    <row r="80" spans="2:43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471</v>
      </c>
      <c r="J81" s="558" t="s">
        <v>472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</row>
    <row r="89" spans="2:36">
      <c r="B89" s="50" t="s">
        <v>141</v>
      </c>
      <c r="C89" s="300" t="str" cm="1">
        <f t="array" aca="1" ref="C89" ca="1">_xll.d.TestUtils_And(G94,N94,W94,AJ94)</f>
        <v>Ok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cm="1">
        <f t="array" aca="1" ref="E94" ca="1">_xll.d.Dates_ModFolDay(C94,B96:B98)</f>
        <v>44741</v>
      </c>
      <c r="F94" s="309">
        <v>44741</v>
      </c>
      <c r="G94" s="310" t="str" cm="1">
        <f t="array" aca="1" ref="G94" ca="1">_xll.d.TestUtils_Equal(E94,F94)</f>
        <v>Ok</v>
      </c>
      <c r="I94" s="123" t="s">
        <v>31</v>
      </c>
      <c r="J94" s="301">
        <v>44728</v>
      </c>
      <c r="L94" s="308" cm="1">
        <f t="array" aca="1" ref="L94" ca="1">_xll.d.Dates_ModFolDay(J94,J95)</f>
        <v>44729</v>
      </c>
      <c r="M94" s="309">
        <v>44729</v>
      </c>
      <c r="N94" s="310" t="str" cm="1">
        <f t="array" aca="1" ref="N94" ca="1">_xll.d.TestUtils_Equal(L94,M94)</f>
        <v>Ok</v>
      </c>
      <c r="P94" s="123" t="s">
        <v>31</v>
      </c>
      <c r="Q94" s="301">
        <v>44746</v>
      </c>
      <c r="S94" s="536" cm="1">
        <f t="array" aca="1" ref="S94" ca="1">_xll.d.Dates_ModFolDay(Q94,Q95)</f>
        <v>44747</v>
      </c>
      <c r="T94" s="537"/>
      <c r="U94" s="537">
        <v>44747</v>
      </c>
      <c r="V94" s="537"/>
      <c r="W94" s="310" t="str" cm="1">
        <f t="array" aca="1" ref="W94" ca="1">_xll.d.TestUtils_Equal(S94,U94)</f>
        <v>Ok</v>
      </c>
      <c r="Y94" s="123" t="s">
        <v>31</v>
      </c>
      <c r="Z94" s="301">
        <v>44746</v>
      </c>
      <c r="AB94" s="536" t="str" cm="1">
        <f t="array" aca="1" ref="AB94" ca="1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aca="1" ref="AJ94" ca="1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aca="1" ref="C104" ca="1">_xll.d.TestUtils_And(G109,N109,W109,AJ109)</f>
        <v>Ok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cm="1">
        <f t="array" aca="1" ref="E109" ca="1">_xll.d.Dates_PrevDay(C109,B111:B113)</f>
        <v>44741</v>
      </c>
      <c r="F109" s="309">
        <v>44741</v>
      </c>
      <c r="G109" s="310" t="str" cm="1">
        <f t="array" aca="1" ref="G109" ca="1">_xll.d.TestUtils_Equal(E109,F109)</f>
        <v>Ok</v>
      </c>
      <c r="I109" s="123" t="s">
        <v>31</v>
      </c>
      <c r="J109" s="301">
        <v>44728</v>
      </c>
      <c r="L109" s="308" cm="1">
        <f t="array" aca="1" ref="L109" ca="1">_xll.d.Dates_PrevDay(J109,J110)</f>
        <v>44727</v>
      </c>
      <c r="M109" s="309">
        <v>44727</v>
      </c>
      <c r="N109" s="310" t="str" cm="1">
        <f t="array" aca="1" ref="N109" ca="1">_xll.d.TestUtils_Equal(L109,M109)</f>
        <v>Ok</v>
      </c>
      <c r="P109" s="123" t="s">
        <v>31</v>
      </c>
      <c r="Q109" s="301">
        <v>44746</v>
      </c>
      <c r="S109" s="536" cm="1">
        <f t="array" aca="1" ref="S109" ca="1">_xll.d.Dates_PrevDay(Q109,Q110)</f>
        <v>44743</v>
      </c>
      <c r="T109" s="537"/>
      <c r="U109" s="537">
        <v>44743</v>
      </c>
      <c r="V109" s="537"/>
      <c r="W109" s="310" t="str" cm="1">
        <f t="array" aca="1" ref="W109" ca="1">_xll.d.TestUtils_Equal(S109,U109)</f>
        <v>Ok</v>
      </c>
      <c r="Y109" s="123" t="s">
        <v>31</v>
      </c>
      <c r="Z109" s="301">
        <v>44746</v>
      </c>
      <c r="AB109" s="536" t="str" cm="1">
        <f t="array" aca="1" ref="AB109" ca="1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aca="1" ref="AJ109" ca="1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aca="1" ref="C119" ca="1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aca="1" ref="E124" ca="1">_xll.d.Dates_AddTenorToDate(C124,C125,C126,C127)</f>
        <v>44652</v>
      </c>
      <c r="F124" s="309">
        <v>44652</v>
      </c>
      <c r="G124" s="310" t="str" cm="1">
        <f t="array" aca="1" ref="G124" ca="1">_xll.d.TestUtils_Equal(E124,F124)</f>
        <v>Ok</v>
      </c>
      <c r="I124" s="456" t="s">
        <v>31</v>
      </c>
      <c r="J124" s="538"/>
      <c r="K124" s="301">
        <v>44562</v>
      </c>
      <c r="M124" s="308" cm="1">
        <f t="array" aca="1" ref="M124" ca="1">_xll.d.Dates_AddTenorToDate(K124,K125,K126,K127)</f>
        <v>44652</v>
      </c>
      <c r="N124" s="309">
        <v>44652</v>
      </c>
      <c r="O124" s="310" t="str" cm="1">
        <f t="array" aca="1" ref="O124" ca="1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aca="1" ref="U124" ca="1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aca="1" ref="AC124" ca="1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aca="1" ref="AI124" ca="1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aca="1" ref="AS124" ca="1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aca="1" ref="C133" ca="1">_xll.d.TestUtils_And(L138:O172)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aca="1" ref="B138:E172" ca="1">_xll.d.Dates_GetListOfCalendars()</f>
        <v>Variant 1</v>
      </c>
      <c r="C138" s="291" t="str">
        <f ca="1"/>
        <v>Variant 2</v>
      </c>
      <c r="D138" s="291" t="str">
        <f ca="1"/>
        <v>Variant 3</v>
      </c>
      <c r="E138" s="120" t="str">
        <f ca="1"/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aca="1" ref="L138" ca="1">_xll.d.TestUtils_Equal(B138,G138)</f>
        <v>Ok</v>
      </c>
      <c r="M138" s="300" t="str" cm="1">
        <f t="array" aca="1" ref="M138" ca="1">_xll.d.TestUtils_Equal(C138,H138)</f>
        <v>Ok</v>
      </c>
      <c r="N138" s="300" t="str" cm="1">
        <f t="array" aca="1" ref="N138" ca="1">_xll.d.TestUtils_Equal(D138,I138)</f>
        <v>Ok</v>
      </c>
      <c r="O138" s="300" t="str" cm="1">
        <f t="array" aca="1" ref="O138" ca="1">_xll.d.TestUtils_Equal(E138,J138)</f>
        <v>Ok</v>
      </c>
    </row>
    <row r="139" spans="2:30">
      <c r="B139" s="123" t="str">
        <f ca="1"/>
        <v>ARS</v>
      </c>
      <c r="C139" s="320" t="str">
        <f ca="1"/>
        <v>Argentina</v>
      </c>
      <c r="D139" s="320" t="str">
        <f ca="1"/>
        <v/>
      </c>
      <c r="E139" s="124" t="str">
        <f ca="1"/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aca="1" ref="L139" ca="1">_xll.d.TestUtils_Equal(B139,G139)</f>
        <v>Ok</v>
      </c>
      <c r="M139" s="300" t="str" cm="1">
        <f t="array" aca="1" ref="M139" ca="1">_xll.d.TestUtils_Equal(C139,H139)</f>
        <v>Ok</v>
      </c>
      <c r="N139" s="300" t="str" cm="1">
        <f t="array" aca="1" ref="N139" ca="1">_xll.d.TestUtils_Equal(D139,I139)</f>
        <v>Ok</v>
      </c>
      <c r="O139" s="300" t="str" cm="1">
        <f t="array" aca="1" ref="O139" ca="1">_xll.d.TestUtils_Equal(E139,J139)</f>
        <v>Ok</v>
      </c>
    </row>
    <row r="140" spans="2:30">
      <c r="B140" s="125" t="str">
        <f ca="1"/>
        <v>AUD</v>
      </c>
      <c r="C140" s="279" t="str">
        <f ca="1"/>
        <v>Australia</v>
      </c>
      <c r="D140" s="279" t="str">
        <f ca="1"/>
        <v/>
      </c>
      <c r="E140" s="126" t="str">
        <f ca="1"/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aca="1" ref="L140" ca="1">_xll.d.TestUtils_Equal(B140,G140)</f>
        <v>Ok</v>
      </c>
      <c r="M140" s="300" t="str" cm="1">
        <f t="array" aca="1" ref="M140" ca="1">_xll.d.TestUtils_Equal(C140,H140)</f>
        <v>Ok</v>
      </c>
      <c r="N140" s="300" t="str" cm="1">
        <f t="array" aca="1" ref="N140" ca="1">_xll.d.TestUtils_Equal(D140,I140)</f>
        <v>Ok</v>
      </c>
      <c r="O140" s="300" t="str" cm="1">
        <f t="array" aca="1" ref="O140" ca="1">_xll.d.TestUtils_Equal(E140,J140)</f>
        <v>Ok</v>
      </c>
    </row>
    <row r="141" spans="2:30">
      <c r="B141" s="125" t="str">
        <f ca="1"/>
        <v>BWP</v>
      </c>
      <c r="C141" s="279" t="str">
        <f ca="1"/>
        <v>Botswana</v>
      </c>
      <c r="D141" s="279" t="str">
        <f ca="1"/>
        <v/>
      </c>
      <c r="E141" s="126" t="str">
        <f ca="1"/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aca="1" ref="L141" ca="1">_xll.d.TestUtils_Equal(B141,G141)</f>
        <v>Ok</v>
      </c>
      <c r="M141" s="300" t="str" cm="1">
        <f t="array" aca="1" ref="M141" ca="1">_xll.d.TestUtils_Equal(C141,H141)</f>
        <v>Ok</v>
      </c>
      <c r="N141" s="300" t="str" cm="1">
        <f t="array" aca="1" ref="N141" ca="1">_xll.d.TestUtils_Equal(D141,I141)</f>
        <v>Ok</v>
      </c>
      <c r="O141" s="300" t="str" cm="1">
        <f t="array" aca="1" ref="O141" ca="1">_xll.d.TestUtils_Equal(E141,J141)</f>
        <v>Ok</v>
      </c>
    </row>
    <row r="142" spans="2:30">
      <c r="B142" s="125" t="str">
        <f ca="1"/>
        <v>BRL</v>
      </c>
      <c r="C142" s="279" t="str">
        <f ca="1"/>
        <v>Brazil</v>
      </c>
      <c r="D142" s="279" t="str">
        <f ca="1"/>
        <v/>
      </c>
      <c r="E142" s="126" t="str">
        <f ca="1"/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aca="1" ref="L142" ca="1">_xll.d.TestUtils_Equal(B142,G142)</f>
        <v>Ok</v>
      </c>
      <c r="M142" s="300" t="str" cm="1">
        <f t="array" aca="1" ref="M142" ca="1">_xll.d.TestUtils_Equal(C142,H142)</f>
        <v>Ok</v>
      </c>
      <c r="N142" s="300" t="str" cm="1">
        <f t="array" aca="1" ref="N142" ca="1">_xll.d.TestUtils_Equal(D142,I142)</f>
        <v>Ok</v>
      </c>
      <c r="O142" s="300" t="str" cm="1">
        <f t="array" aca="1" ref="O142" ca="1">_xll.d.TestUtils_Equal(E142,J142)</f>
        <v>Ok</v>
      </c>
    </row>
    <row r="143" spans="2:30">
      <c r="B143" s="125" t="str">
        <f ca="1"/>
        <v>CAD</v>
      </c>
      <c r="C143" s="279" t="str">
        <f ca="1"/>
        <v>Canada</v>
      </c>
      <c r="D143" s="279" t="str">
        <f ca="1"/>
        <v/>
      </c>
      <c r="E143" s="126" t="str">
        <f ca="1"/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aca="1" ref="L143" ca="1">_xll.d.TestUtils_Equal(B143,G143)</f>
        <v>Ok</v>
      </c>
      <c r="M143" s="300" t="str" cm="1">
        <f t="array" aca="1" ref="M143" ca="1">_xll.d.TestUtils_Equal(C143,H143)</f>
        <v>Ok</v>
      </c>
      <c r="N143" s="300" t="str" cm="1">
        <f t="array" aca="1" ref="N143" ca="1">_xll.d.TestUtils_Equal(D143,I143)</f>
        <v>Ok</v>
      </c>
      <c r="O143" s="300" t="str" cm="1">
        <f t="array" aca="1" ref="O143" ca="1">_xll.d.TestUtils_Equal(E143,J143)</f>
        <v>Ok</v>
      </c>
    </row>
    <row r="144" spans="2:30">
      <c r="B144" s="125" t="str">
        <f ca="1"/>
        <v>CHF</v>
      </c>
      <c r="C144" s="279" t="str">
        <f ca="1"/>
        <v>Switzerland</v>
      </c>
      <c r="D144" s="279" t="str">
        <f ca="1"/>
        <v/>
      </c>
      <c r="E144" s="126" t="str">
        <f ca="1"/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aca="1" ref="L144" ca="1">_xll.d.TestUtils_Equal(B144,G144)</f>
        <v>Ok</v>
      </c>
      <c r="M144" s="300" t="str" cm="1">
        <f t="array" aca="1" ref="M144" ca="1">_xll.d.TestUtils_Equal(C144,H144)</f>
        <v>Ok</v>
      </c>
      <c r="N144" s="300" t="str" cm="1">
        <f t="array" aca="1" ref="N144" ca="1">_xll.d.TestUtils_Equal(D144,I144)</f>
        <v>Ok</v>
      </c>
      <c r="O144" s="300" t="str" cm="1">
        <f t="array" aca="1" ref="O144" ca="1">_xll.d.TestUtils_Equal(E144,J144)</f>
        <v>Ok</v>
      </c>
    </row>
    <row r="145" spans="2:15">
      <c r="B145" s="125" t="str">
        <f ca="1"/>
        <v>CNH</v>
      </c>
      <c r="C145" s="279" t="str">
        <f ca="1"/>
        <v>China</v>
      </c>
      <c r="D145" s="279" t="str">
        <f ca="1"/>
        <v/>
      </c>
      <c r="E145" s="126" t="str">
        <f ca="1"/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aca="1" ref="L145" ca="1">_xll.d.TestUtils_Equal(B145,G145)</f>
        <v>Ok</v>
      </c>
      <c r="M145" s="300" t="str" cm="1">
        <f t="array" aca="1" ref="M145" ca="1">_xll.d.TestUtils_Equal(C145,H145)</f>
        <v>Ok</v>
      </c>
      <c r="N145" s="300" t="str" cm="1">
        <f t="array" aca="1" ref="N145" ca="1">_xll.d.TestUtils_Equal(D145,I145)</f>
        <v>Ok</v>
      </c>
      <c r="O145" s="300" t="str" cm="1">
        <f t="array" aca="1" ref="O145" ca="1">_xll.d.TestUtils_Equal(E145,J145)</f>
        <v>Ok</v>
      </c>
    </row>
    <row r="146" spans="2:15">
      <c r="B146" s="125" t="str">
        <f ca="1"/>
        <v>CZK</v>
      </c>
      <c r="C146" s="279" t="str">
        <f ca="1"/>
        <v>Czech Republic</v>
      </c>
      <c r="D146" s="279" t="str">
        <f ca="1"/>
        <v/>
      </c>
      <c r="E146" s="126" t="str">
        <f ca="1"/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aca="1" ref="L146" ca="1">_xll.d.TestUtils_Equal(B146,G146)</f>
        <v>Ok</v>
      </c>
      <c r="M146" s="300" t="str" cm="1">
        <f t="array" aca="1" ref="M146" ca="1">_xll.d.TestUtils_Equal(C146,H146)</f>
        <v>Ok</v>
      </c>
      <c r="N146" s="300" t="str" cm="1">
        <f t="array" aca="1" ref="N146" ca="1">_xll.d.TestUtils_Equal(D146,I146)</f>
        <v>Ok</v>
      </c>
      <c r="O146" s="300" t="str" cm="1">
        <f t="array" aca="1" ref="O146" ca="1">_xll.d.TestUtils_Equal(E146,J146)</f>
        <v>Ok</v>
      </c>
    </row>
    <row r="147" spans="2:15">
      <c r="B147" s="125" t="str">
        <f ca="1"/>
        <v>DKK</v>
      </c>
      <c r="C147" s="279" t="str">
        <f ca="1"/>
        <v>Denmark</v>
      </c>
      <c r="D147" s="279" t="str">
        <f ca="1"/>
        <v/>
      </c>
      <c r="E147" s="126" t="str">
        <f ca="1"/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aca="1" ref="L147" ca="1">_xll.d.TestUtils_Equal(B147,G147)</f>
        <v>Ok</v>
      </c>
      <c r="M147" s="300" t="str" cm="1">
        <f t="array" aca="1" ref="M147" ca="1">_xll.d.TestUtils_Equal(C147,H147)</f>
        <v>Ok</v>
      </c>
      <c r="N147" s="300" t="str" cm="1">
        <f t="array" aca="1" ref="N147" ca="1">_xll.d.TestUtils_Equal(D147,I147)</f>
        <v>Ok</v>
      </c>
      <c r="O147" s="300" t="str" cm="1">
        <f t="array" aca="1" ref="O147" ca="1">_xll.d.TestUtils_Equal(E147,J147)</f>
        <v>Ok</v>
      </c>
    </row>
    <row r="148" spans="2:15">
      <c r="B148" s="125" t="str">
        <f ca="1"/>
        <v>EUR</v>
      </c>
      <c r="C148" s="279" t="str">
        <f ca="1"/>
        <v>Euro</v>
      </c>
      <c r="D148" s="279" t="str">
        <f ca="1"/>
        <v/>
      </c>
      <c r="E148" s="126" t="str">
        <f ca="1"/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aca="1" ref="L148" ca="1">_xll.d.TestUtils_Equal(B148,G148)</f>
        <v>Ok</v>
      </c>
      <c r="M148" s="300" t="str" cm="1">
        <f t="array" aca="1" ref="M148" ca="1">_xll.d.TestUtils_Equal(C148,H148)</f>
        <v>Ok</v>
      </c>
      <c r="N148" s="300" t="str" cm="1">
        <f t="array" aca="1" ref="N148" ca="1">_xll.d.TestUtils_Equal(D148,I148)</f>
        <v>Ok</v>
      </c>
      <c r="O148" s="300" t="str" cm="1">
        <f t="array" aca="1" ref="O148" ca="1">_xll.d.TestUtils_Equal(E148,J148)</f>
        <v>Ok</v>
      </c>
    </row>
    <row r="149" spans="2:15">
      <c r="B149" s="125" t="str">
        <f ca="1"/>
        <v>GBP</v>
      </c>
      <c r="C149" s="279" t="str">
        <f ca="1"/>
        <v>Great Britain</v>
      </c>
      <c r="D149" s="279" t="str">
        <f ca="1"/>
        <v/>
      </c>
      <c r="E149" s="126" t="str">
        <f ca="1"/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aca="1" ref="L149" ca="1">_xll.d.TestUtils_Equal(B149,G149)</f>
        <v>Ok</v>
      </c>
      <c r="M149" s="300" t="str" cm="1">
        <f t="array" aca="1" ref="M149" ca="1">_xll.d.TestUtils_Equal(C149,H149)</f>
        <v>Ok</v>
      </c>
      <c r="N149" s="300" t="str" cm="1">
        <f t="array" aca="1" ref="N149" ca="1">_xll.d.TestUtils_Equal(D149,I149)</f>
        <v>Ok</v>
      </c>
      <c r="O149" s="300" t="str" cm="1">
        <f t="array" aca="1" ref="O149" ca="1">_xll.d.TestUtils_Equal(E149,J149)</f>
        <v>Ok</v>
      </c>
    </row>
    <row r="150" spans="2:15">
      <c r="B150" s="125" t="str">
        <f ca="1"/>
        <v>Germany</v>
      </c>
      <c r="C150" s="279" t="str">
        <f ca="1"/>
        <v/>
      </c>
      <c r="D150" s="279" t="str">
        <f ca="1"/>
        <v/>
      </c>
      <c r="E150" s="126" t="str">
        <f ca="1"/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aca="1" ref="L150" ca="1">_xll.d.TestUtils_Equal(B150,G150)</f>
        <v>Ok</v>
      </c>
      <c r="M150" s="300" t="str" cm="1">
        <f t="array" aca="1" ref="M150" ca="1">_xll.d.TestUtils_Equal(C150,H150)</f>
        <v>Ok</v>
      </c>
      <c r="N150" s="300" t="str" cm="1">
        <f t="array" aca="1" ref="N150" ca="1">_xll.d.TestUtils_Equal(D150,I150)</f>
        <v>Ok</v>
      </c>
      <c r="O150" s="300" t="str" cm="1">
        <f t="array" aca="1" ref="O150" ca="1">_xll.d.TestUtils_Equal(E150,J150)</f>
        <v>Ok</v>
      </c>
    </row>
    <row r="151" spans="2:15">
      <c r="B151" s="125" t="str">
        <f ca="1"/>
        <v>HUF</v>
      </c>
      <c r="C151" s="279" t="str">
        <f ca="1"/>
        <v>Hungary</v>
      </c>
      <c r="D151" s="279" t="str">
        <f ca="1"/>
        <v/>
      </c>
      <c r="E151" s="126" t="str">
        <f ca="1"/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aca="1" ref="L151" ca="1">_xll.d.TestUtils_Equal(B151,G151)</f>
        <v>Ok</v>
      </c>
      <c r="M151" s="300" t="str" cm="1">
        <f t="array" aca="1" ref="M151" ca="1">_xll.d.TestUtils_Equal(C151,H151)</f>
        <v>Ok</v>
      </c>
      <c r="N151" s="300" t="str" cm="1">
        <f t="array" aca="1" ref="N151" ca="1">_xll.d.TestUtils_Equal(D151,I151)</f>
        <v>Ok</v>
      </c>
      <c r="O151" s="300" t="str" cm="1">
        <f t="array" aca="1" ref="O151" ca="1">_xll.d.TestUtils_Equal(E151,J151)</f>
        <v>Ok</v>
      </c>
    </row>
    <row r="152" spans="2:15">
      <c r="B152" s="125" t="str">
        <f ca="1"/>
        <v>INR</v>
      </c>
      <c r="C152" s="279" t="str">
        <f ca="1"/>
        <v>India</v>
      </c>
      <c r="D152" s="279" t="str">
        <f ca="1"/>
        <v/>
      </c>
      <c r="E152" s="126" t="str">
        <f ca="1"/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aca="1" ref="L152" ca="1">_xll.d.TestUtils_Equal(B152,G152)</f>
        <v>Ok</v>
      </c>
      <c r="M152" s="300" t="str" cm="1">
        <f t="array" aca="1" ref="M152" ca="1">_xll.d.TestUtils_Equal(C152,H152)</f>
        <v>Ok</v>
      </c>
      <c r="N152" s="300" t="str" cm="1">
        <f t="array" aca="1" ref="N152" ca="1">_xll.d.TestUtils_Equal(D152,I152)</f>
        <v>Ok</v>
      </c>
      <c r="O152" s="300" t="str" cm="1">
        <f t="array" aca="1" ref="O152" ca="1">_xll.d.TestUtils_Equal(E152,J152)</f>
        <v>Ok</v>
      </c>
    </row>
    <row r="153" spans="2:15">
      <c r="B153" s="125" t="str">
        <f ca="1"/>
        <v>ILS</v>
      </c>
      <c r="C153" s="279" t="str">
        <f ca="1"/>
        <v>Israel</v>
      </c>
      <c r="D153" s="279" t="str">
        <f ca="1"/>
        <v/>
      </c>
      <c r="E153" s="126" t="str">
        <f ca="1"/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aca="1" ref="L153" ca="1">_xll.d.TestUtils_Equal(B153,G153)</f>
        <v>Ok</v>
      </c>
      <c r="M153" s="300" t="str" cm="1">
        <f t="array" aca="1" ref="M153" ca="1">_xll.d.TestUtils_Equal(C153,H153)</f>
        <v>Ok</v>
      </c>
      <c r="N153" s="300" t="str" cm="1">
        <f t="array" aca="1" ref="N153" ca="1">_xll.d.TestUtils_Equal(D153,I153)</f>
        <v>Ok</v>
      </c>
      <c r="O153" s="300" t="str" cm="1">
        <f t="array" aca="1" ref="O153" ca="1">_xll.d.TestUtils_Equal(E153,J153)</f>
        <v>Ok</v>
      </c>
    </row>
    <row r="154" spans="2:15">
      <c r="B154" s="125" t="str">
        <f ca="1"/>
        <v>Italy</v>
      </c>
      <c r="C154" s="279" t="str">
        <f ca="1"/>
        <v/>
      </c>
      <c r="D154" s="279" t="str">
        <f ca="1"/>
        <v/>
      </c>
      <c r="E154" s="126" t="str">
        <f ca="1"/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aca="1" ref="L154" ca="1">_xll.d.TestUtils_Equal(B154,G154)</f>
        <v>Ok</v>
      </c>
      <c r="M154" s="300" t="str" cm="1">
        <f t="array" aca="1" ref="M154" ca="1">_xll.d.TestUtils_Equal(C154,H154)</f>
        <v>Ok</v>
      </c>
      <c r="N154" s="300" t="str" cm="1">
        <f t="array" aca="1" ref="N154" ca="1">_xll.d.TestUtils_Equal(D154,I154)</f>
        <v>Ok</v>
      </c>
      <c r="O154" s="300" t="str" cm="1">
        <f t="array" aca="1" ref="O154" ca="1">_xll.d.TestUtils_Equal(E154,J154)</f>
        <v>Ok</v>
      </c>
    </row>
    <row r="155" spans="2:15">
      <c r="B155" s="125" t="str">
        <f ca="1"/>
        <v>JPY</v>
      </c>
      <c r="C155" s="279" t="str">
        <f ca="1"/>
        <v>Japan</v>
      </c>
      <c r="D155" s="279" t="str">
        <f ca="1"/>
        <v/>
      </c>
      <c r="E155" s="126" t="str">
        <f ca="1"/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aca="1" ref="L155" ca="1">_xll.d.TestUtils_Equal(B155,G155)</f>
        <v>Ok</v>
      </c>
      <c r="M155" s="300" t="str" cm="1">
        <f t="array" aca="1" ref="M155" ca="1">_xll.d.TestUtils_Equal(C155,H155)</f>
        <v>Ok</v>
      </c>
      <c r="N155" s="300" t="str" cm="1">
        <f t="array" aca="1" ref="N155" ca="1">_xll.d.TestUtils_Equal(D155,I155)</f>
        <v>Ok</v>
      </c>
      <c r="O155" s="300" t="str" cm="1">
        <f t="array" aca="1" ref="O155" ca="1">_xll.d.TestUtils_Equal(E155,J155)</f>
        <v>Ok</v>
      </c>
    </row>
    <row r="156" spans="2:15">
      <c r="B156" s="125" t="str">
        <f ca="1"/>
        <v>KRW</v>
      </c>
      <c r="C156" s="279" t="str">
        <f ca="1"/>
        <v>South Korea</v>
      </c>
      <c r="D156" s="279" t="str">
        <f ca="1"/>
        <v/>
      </c>
      <c r="E156" s="126" t="str">
        <f ca="1"/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aca="1" ref="L156" ca="1">_xll.d.TestUtils_Equal(B156,G156)</f>
        <v>Ok</v>
      </c>
      <c r="M156" s="300" t="str" cm="1">
        <f t="array" aca="1" ref="M156" ca="1">_xll.d.TestUtils_Equal(C156,H156)</f>
        <v>Ok</v>
      </c>
      <c r="N156" s="300" t="str" cm="1">
        <f t="array" aca="1" ref="N156" ca="1">_xll.d.TestUtils_Equal(D156,I156)</f>
        <v>Ok</v>
      </c>
      <c r="O156" s="300" t="str" cm="1">
        <f t="array" aca="1" ref="O156" ca="1">_xll.d.TestUtils_Equal(E156,J156)</f>
        <v>Ok</v>
      </c>
    </row>
    <row r="157" spans="2:15">
      <c r="B157" s="125" t="str">
        <f ca="1"/>
        <v>MXN</v>
      </c>
      <c r="C157" s="279" t="str">
        <f ca="1"/>
        <v>Mexico</v>
      </c>
      <c r="D157" s="279" t="str">
        <f ca="1"/>
        <v/>
      </c>
      <c r="E157" s="126" t="str">
        <f ca="1"/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aca="1" ref="L157" ca="1">_xll.d.TestUtils_Equal(B157,G157)</f>
        <v>Ok</v>
      </c>
      <c r="M157" s="300" t="str" cm="1">
        <f t="array" aca="1" ref="M157" ca="1">_xll.d.TestUtils_Equal(C157,H157)</f>
        <v>Ok</v>
      </c>
      <c r="N157" s="300" t="str" cm="1">
        <f t="array" aca="1" ref="N157" ca="1">_xll.d.TestUtils_Equal(D157,I157)</f>
        <v>Ok</v>
      </c>
      <c r="O157" s="300" t="str" cm="1">
        <f t="array" aca="1" ref="O157" ca="1">_xll.d.TestUtils_Equal(E157,J157)</f>
        <v>Ok</v>
      </c>
    </row>
    <row r="158" spans="2:15">
      <c r="B158" s="125" t="str">
        <f ca="1"/>
        <v>NOK</v>
      </c>
      <c r="C158" s="279" t="str">
        <f ca="1"/>
        <v>Norway</v>
      </c>
      <c r="D158" s="279" t="str">
        <f ca="1"/>
        <v/>
      </c>
      <c r="E158" s="126" t="str">
        <f ca="1"/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aca="1" ref="L158" ca="1">_xll.d.TestUtils_Equal(B158,G158)</f>
        <v>Ok</v>
      </c>
      <c r="M158" s="300" t="str" cm="1">
        <f t="array" aca="1" ref="M158" ca="1">_xll.d.TestUtils_Equal(C158,H158)</f>
        <v>Ok</v>
      </c>
      <c r="N158" s="300" t="str" cm="1">
        <f t="array" aca="1" ref="N158" ca="1">_xll.d.TestUtils_Equal(D158,I158)</f>
        <v>Ok</v>
      </c>
      <c r="O158" s="300" t="str" cm="1">
        <f t="array" aca="1" ref="O158" ca="1">_xll.d.TestUtils_Equal(E158,J158)</f>
        <v>Ok</v>
      </c>
    </row>
    <row r="159" spans="2:15">
      <c r="B159" s="125" t="str">
        <f ca="1"/>
        <v>NZD</v>
      </c>
      <c r="C159" s="279" t="str">
        <f ca="1"/>
        <v>New Zealand</v>
      </c>
      <c r="D159" s="279" t="str">
        <f ca="1"/>
        <v/>
      </c>
      <c r="E159" s="126" t="str">
        <f ca="1"/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aca="1" ref="L159" ca="1">_xll.d.TestUtils_Equal(B159,G159)</f>
        <v>Ok</v>
      </c>
      <c r="M159" s="300" t="str" cm="1">
        <f t="array" aca="1" ref="M159" ca="1">_xll.d.TestUtils_Equal(C159,H159)</f>
        <v>Ok</v>
      </c>
      <c r="N159" s="300" t="str" cm="1">
        <f t="array" aca="1" ref="N159" ca="1">_xll.d.TestUtils_Equal(D159,I159)</f>
        <v>Ok</v>
      </c>
      <c r="O159" s="300" t="str" cm="1">
        <f t="array" aca="1" ref="O159" ca="1">_xll.d.TestUtils_Equal(E159,J159)</f>
        <v>Ok</v>
      </c>
    </row>
    <row r="160" spans="2:15">
      <c r="B160" s="125" t="str">
        <f ca="1"/>
        <v>PLN</v>
      </c>
      <c r="C160" s="279" t="str">
        <f ca="1"/>
        <v>Poland</v>
      </c>
      <c r="D160" s="279" t="str">
        <f ca="1"/>
        <v/>
      </c>
      <c r="E160" s="126" t="str">
        <f ca="1"/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aca="1" ref="L160" ca="1">_xll.d.TestUtils_Equal(B160,G160)</f>
        <v>Ok</v>
      </c>
      <c r="M160" s="300" t="str" cm="1">
        <f t="array" aca="1" ref="M160" ca="1">_xll.d.TestUtils_Equal(C160,H160)</f>
        <v>Ok</v>
      </c>
      <c r="N160" s="300" t="str" cm="1">
        <f t="array" aca="1" ref="N160" ca="1">_xll.d.TestUtils_Equal(D160,I160)</f>
        <v>Ok</v>
      </c>
      <c r="O160" s="300" t="str" cm="1">
        <f t="array" aca="1" ref="O160" ca="1">_xll.d.TestUtils_Equal(E160,J160)</f>
        <v>Ok</v>
      </c>
    </row>
    <row r="161" spans="2:27">
      <c r="B161" s="125" t="str">
        <f ca="1"/>
        <v>RON</v>
      </c>
      <c r="C161" s="279" t="str">
        <f ca="1"/>
        <v>Romania</v>
      </c>
      <c r="D161" s="279" t="str">
        <f ca="1"/>
        <v/>
      </c>
      <c r="E161" s="126" t="str">
        <f ca="1"/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aca="1" ref="L161" ca="1">_xll.d.TestUtils_Equal(B161,G161)</f>
        <v>Ok</v>
      </c>
      <c r="M161" s="300" t="str" cm="1">
        <f t="array" aca="1" ref="M161" ca="1">_xll.d.TestUtils_Equal(C161,H161)</f>
        <v>Ok</v>
      </c>
      <c r="N161" s="300" t="str" cm="1">
        <f t="array" aca="1" ref="N161" ca="1">_xll.d.TestUtils_Equal(D161,I161)</f>
        <v>Ok</v>
      </c>
      <c r="O161" s="300" t="str" cm="1">
        <f t="array" aca="1" ref="O161" ca="1">_xll.d.TestUtils_Equal(E161,J161)</f>
        <v>Ok</v>
      </c>
    </row>
    <row r="162" spans="2:27">
      <c r="B162" s="125" t="str">
        <f ca="1"/>
        <v>RUB</v>
      </c>
      <c r="C162" s="279" t="str">
        <f ca="1"/>
        <v>Russia</v>
      </c>
      <c r="D162" s="279" t="str">
        <f ca="1"/>
        <v/>
      </c>
      <c r="E162" s="126" t="str">
        <f ca="1"/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aca="1" ref="L162" ca="1">_xll.d.TestUtils_Equal(B162,G162)</f>
        <v>Ok</v>
      </c>
      <c r="M162" s="300" t="str" cm="1">
        <f t="array" aca="1" ref="M162" ca="1">_xll.d.TestUtils_Equal(C162,H162)</f>
        <v>Ok</v>
      </c>
      <c r="N162" s="300" t="str" cm="1">
        <f t="array" aca="1" ref="N162" ca="1">_xll.d.TestUtils_Equal(D162,I162)</f>
        <v>Ok</v>
      </c>
      <c r="O162" s="300" t="str" cm="1">
        <f t="array" aca="1" ref="O162" ca="1">_xll.d.TestUtils_Equal(E162,J162)</f>
        <v>Ok</v>
      </c>
    </row>
    <row r="163" spans="2:27">
      <c r="B163" s="125" t="str">
        <f ca="1"/>
        <v>SGD</v>
      </c>
      <c r="C163" s="279" t="str">
        <f ca="1"/>
        <v>Singapore</v>
      </c>
      <c r="D163" s="279" t="str">
        <f ca="1"/>
        <v/>
      </c>
      <c r="E163" s="126" t="str">
        <f ca="1"/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aca="1" ref="L163" ca="1">_xll.d.TestUtils_Equal(B163,G163)</f>
        <v>Ok</v>
      </c>
      <c r="M163" s="300" t="str" cm="1">
        <f t="array" aca="1" ref="M163" ca="1">_xll.d.TestUtils_Equal(C163,H163)</f>
        <v>Ok</v>
      </c>
      <c r="N163" s="300" t="str" cm="1">
        <f t="array" aca="1" ref="N163" ca="1">_xll.d.TestUtils_Equal(D163,I163)</f>
        <v>Ok</v>
      </c>
      <c r="O163" s="300" t="str" cm="1">
        <f t="array" aca="1" ref="O163" ca="1">_xll.d.TestUtils_Equal(E163,J163)</f>
        <v>Ok</v>
      </c>
    </row>
    <row r="164" spans="2:27">
      <c r="B164" s="125" t="str">
        <f ca="1"/>
        <v>SKK</v>
      </c>
      <c r="C164" s="279" t="str">
        <f ca="1"/>
        <v>Sweden</v>
      </c>
      <c r="D164" s="279" t="str">
        <f ca="1"/>
        <v/>
      </c>
      <c r="E164" s="126" t="str">
        <f ca="1"/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aca="1" ref="L164" ca="1">_xll.d.TestUtils_Equal(B164,G164)</f>
        <v>Ok</v>
      </c>
      <c r="M164" s="300" t="str" cm="1">
        <f t="array" aca="1" ref="M164" ca="1">_xll.d.TestUtils_Equal(C164,H164)</f>
        <v>Ok</v>
      </c>
      <c r="N164" s="300" t="str" cm="1">
        <f t="array" aca="1" ref="N164" ca="1">_xll.d.TestUtils_Equal(D164,I164)</f>
        <v>Ok</v>
      </c>
      <c r="O164" s="300" t="str" cm="1">
        <f t="array" aca="1" ref="O164" ca="1">_xll.d.TestUtils_Equal(E164,J164)</f>
        <v>Ok</v>
      </c>
    </row>
    <row r="165" spans="2:27">
      <c r="B165" s="125" t="str">
        <f ca="1"/>
        <v>SLOVAKIA</v>
      </c>
      <c r="C165" s="279" t="str">
        <f ca="1"/>
        <v/>
      </c>
      <c r="D165" s="279" t="str">
        <f ca="1"/>
        <v/>
      </c>
      <c r="E165" s="126" t="str">
        <f ca="1"/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aca="1" ref="L165" ca="1">_xll.d.TestUtils_Equal(B165,G165)</f>
        <v>Ok</v>
      </c>
      <c r="M165" s="300" t="str" cm="1">
        <f t="array" aca="1" ref="M165" ca="1">_xll.d.TestUtils_Equal(C165,H165)</f>
        <v>Ok</v>
      </c>
      <c r="N165" s="300" t="str" cm="1">
        <f t="array" aca="1" ref="N165" ca="1">_xll.d.TestUtils_Equal(D165,I165)</f>
        <v>Ok</v>
      </c>
      <c r="O165" s="300" t="str" cm="1">
        <f t="array" aca="1" ref="O165" ca="1">_xll.d.TestUtils_Equal(E165,J165)</f>
        <v>Ok</v>
      </c>
    </row>
    <row r="166" spans="2:27">
      <c r="B166" s="125" t="str">
        <f ca="1"/>
        <v>THB</v>
      </c>
      <c r="C166" s="279" t="str">
        <f ca="1"/>
        <v>Thailand</v>
      </c>
      <c r="D166" s="279" t="str">
        <f ca="1"/>
        <v/>
      </c>
      <c r="E166" s="126" t="str">
        <f ca="1"/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aca="1" ref="L166" ca="1">_xll.d.TestUtils_Equal(B166,G166)</f>
        <v>Ok</v>
      </c>
      <c r="M166" s="300" t="str" cm="1">
        <f t="array" aca="1" ref="M166" ca="1">_xll.d.TestUtils_Equal(C166,H166)</f>
        <v>Ok</v>
      </c>
      <c r="N166" s="300" t="str" cm="1">
        <f t="array" aca="1" ref="N166" ca="1">_xll.d.TestUtils_Equal(D166,I166)</f>
        <v>Ok</v>
      </c>
      <c r="O166" s="300" t="str" cm="1">
        <f t="array" aca="1" ref="O166" ca="1">_xll.d.TestUtils_Equal(E166,J166)</f>
        <v>Ok</v>
      </c>
    </row>
    <row r="167" spans="2:27">
      <c r="B167" s="125" t="str">
        <f ca="1"/>
        <v>TRY</v>
      </c>
      <c r="C167" s="279" t="str">
        <f ca="1"/>
        <v>Turkey</v>
      </c>
      <c r="D167" s="279" t="str">
        <f ca="1"/>
        <v/>
      </c>
      <c r="E167" s="126" t="str">
        <f ca="1"/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aca="1" ref="L167" ca="1">_xll.d.TestUtils_Equal(B167,G167)</f>
        <v>Ok</v>
      </c>
      <c r="M167" s="300" t="str" cm="1">
        <f t="array" aca="1" ref="M167" ca="1">_xll.d.TestUtils_Equal(C167,H167)</f>
        <v>Ok</v>
      </c>
      <c r="N167" s="300" t="str" cm="1">
        <f t="array" aca="1" ref="N167" ca="1">_xll.d.TestUtils_Equal(D167,I167)</f>
        <v>Ok</v>
      </c>
      <c r="O167" s="300" t="str" cm="1">
        <f t="array" aca="1" ref="O167" ca="1">_xll.d.TestUtils_Equal(E167,J167)</f>
        <v>Ok</v>
      </c>
    </row>
    <row r="168" spans="2:27">
      <c r="B168" s="125" t="str">
        <f ca="1"/>
        <v>TWD</v>
      </c>
      <c r="C168" s="279" t="str">
        <f ca="1"/>
        <v>Taiwan</v>
      </c>
      <c r="D168" s="279" t="str">
        <f ca="1"/>
        <v/>
      </c>
      <c r="E168" s="126" t="str">
        <f ca="1"/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aca="1" ref="L168" ca="1">_xll.d.TestUtils_Equal(B168,G168)</f>
        <v>Ok</v>
      </c>
      <c r="M168" s="300" t="str" cm="1">
        <f t="array" aca="1" ref="M168" ca="1">_xll.d.TestUtils_Equal(C168,H168)</f>
        <v>Ok</v>
      </c>
      <c r="N168" s="300" t="str" cm="1">
        <f t="array" aca="1" ref="N168" ca="1">_xll.d.TestUtils_Equal(D168,I168)</f>
        <v>Ok</v>
      </c>
      <c r="O168" s="300" t="str" cm="1">
        <f t="array" aca="1" ref="O168" ca="1">_xll.d.TestUtils_Equal(E168,J168)</f>
        <v>Ok</v>
      </c>
    </row>
    <row r="169" spans="2:27">
      <c r="B169" s="125" t="str">
        <f ca="1"/>
        <v>UAH</v>
      </c>
      <c r="C169" s="279" t="str">
        <f ca="1"/>
        <v>Ukraine</v>
      </c>
      <c r="D169" s="279" t="str">
        <f ca="1"/>
        <v/>
      </c>
      <c r="E169" s="126" t="str">
        <f ca="1"/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aca="1" ref="L169" ca="1">_xll.d.TestUtils_Equal(B169,G169)</f>
        <v>Ok</v>
      </c>
      <c r="M169" s="300" t="str" cm="1">
        <f t="array" aca="1" ref="M169" ca="1">_xll.d.TestUtils_Equal(C169,H169)</f>
        <v>Ok</v>
      </c>
      <c r="N169" s="300" t="str" cm="1">
        <f t="array" aca="1" ref="N169" ca="1">_xll.d.TestUtils_Equal(D169,I169)</f>
        <v>Ok</v>
      </c>
      <c r="O169" s="300" t="str" cm="1">
        <f t="array" aca="1" ref="O169" ca="1">_xll.d.TestUtils_Equal(E169,J169)</f>
        <v>Ok</v>
      </c>
    </row>
    <row r="170" spans="2:27">
      <c r="B170" s="125" t="str">
        <f ca="1"/>
        <v>USD</v>
      </c>
      <c r="C170" s="279" t="str">
        <f ca="1"/>
        <v>USA</v>
      </c>
      <c r="D170" s="279" t="str">
        <f ca="1"/>
        <v>United States</v>
      </c>
      <c r="E170" s="126" t="str">
        <f ca="1"/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aca="1" ref="L170" ca="1">_xll.d.TestUtils_Equal(B170,G170)</f>
        <v>Ok</v>
      </c>
      <c r="M170" s="300" t="str" cm="1">
        <f t="array" aca="1" ref="M170" ca="1">_xll.d.TestUtils_Equal(C170,H170)</f>
        <v>Ok</v>
      </c>
      <c r="N170" s="300" t="str" cm="1">
        <f t="array" aca="1" ref="N170" ca="1">_xll.d.TestUtils_Equal(D170,I170)</f>
        <v>Ok</v>
      </c>
      <c r="O170" s="300" t="str" cm="1">
        <f t="array" aca="1" ref="O170" ca="1">_xll.d.TestUtils_Equal(E170,J170)</f>
        <v>Ok</v>
      </c>
    </row>
    <row r="171" spans="2:27">
      <c r="B171" s="125" t="str">
        <f ca="1"/>
        <v>WEEKENDSONLY</v>
      </c>
      <c r="C171" s="279" t="str">
        <f ca="1"/>
        <v/>
      </c>
      <c r="D171" s="279" t="str">
        <f ca="1"/>
        <v/>
      </c>
      <c r="E171" s="126" t="str">
        <f ca="1"/>
        <v/>
      </c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aca="1" ref="L171" ca="1">_xll.d.TestUtils_Equal(B171,G171)</f>
        <v>Ok</v>
      </c>
      <c r="M171" s="300" t="str" cm="1">
        <f t="array" aca="1" ref="M171" ca="1">_xll.d.TestUtils_Equal(C171,H171)</f>
        <v>Ok</v>
      </c>
      <c r="N171" s="300" t="str" cm="1">
        <f t="array" aca="1" ref="N171" ca="1">_xll.d.TestUtils_Equal(D171,I171)</f>
        <v>Ok</v>
      </c>
      <c r="O171" s="300" t="str" cm="1">
        <f t="array" aca="1" ref="O171" ca="1">_xll.d.TestUtils_Equal(E171,J171)</f>
        <v>Ok</v>
      </c>
    </row>
    <row r="172" spans="2:27">
      <c r="B172" s="127" t="str">
        <f ca="1"/>
        <v>ZAR</v>
      </c>
      <c r="C172" s="191" t="str">
        <f ca="1"/>
        <v>South Africa</v>
      </c>
      <c r="D172" s="191" t="str">
        <f ca="1"/>
        <v/>
      </c>
      <c r="E172" s="128" t="str">
        <f ca="1"/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aca="1" ref="L172" ca="1">_xll.d.TestUtils_Equal(B172,G172)</f>
        <v>Ok</v>
      </c>
      <c r="M172" s="300" t="str" cm="1">
        <f t="array" aca="1" ref="M172" ca="1">_xll.d.TestUtils_Equal(C172,H172)</f>
        <v>Ok</v>
      </c>
      <c r="N172" s="300" t="str" cm="1">
        <f t="array" aca="1" ref="N172" ca="1">_xll.d.TestUtils_Equal(D172,I172)</f>
        <v>Ok</v>
      </c>
      <c r="O172" s="300" t="str" cm="1">
        <f t="array" aca="1" ref="O172" ca="1">_xll.d.TestUtils_Equal(E172,J172)</f>
        <v>Ok</v>
      </c>
    </row>
    <row r="176" spans="2:27" ht="18.75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>
      <c r="B178" s="50" t="s">
        <v>141</v>
      </c>
      <c r="C178" s="300" t="str" cm="1">
        <f t="array" aca="1" ref="C178" ca="1">_xll.d.TestUtils_And(G183:G191,N183:N200,AA183)</f>
        <v>Ok</v>
      </c>
    </row>
    <row r="180" spans="2:27" ht="15.7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>
      <c r="G181" s="299"/>
      <c r="N181" s="299"/>
    </row>
    <row r="182" spans="2:27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>
      <c r="B183" s="123" t="s">
        <v>233</v>
      </c>
      <c r="C183" s="301">
        <v>44562</v>
      </c>
      <c r="E183" s="314" cm="1">
        <f t="array" aca="1" ref="E183:E191" ca="1">_xll.d.Dates_GetListOfHolidays(C183,C184,C185)</f>
        <v>44641</v>
      </c>
      <c r="F183" s="315">
        <v>44641</v>
      </c>
      <c r="G183" s="124" t="str" cm="1">
        <f t="array" aca="1" ref="G183" ca="1">_xll.d.TestUtils_Equal(E183,F183)</f>
        <v>Ok</v>
      </c>
      <c r="I183" s="123" t="s">
        <v>233</v>
      </c>
      <c r="J183" s="301">
        <v>44562</v>
      </c>
      <c r="L183" s="314" cm="1">
        <f t="array" aca="1" ref="L183:L200" ca="1">_xll.d.Dates_GetListOfHolidays(J183,J184,J185)</f>
        <v>44578</v>
      </c>
      <c r="M183" s="315">
        <v>44578</v>
      </c>
      <c r="N183" s="124" t="str" cm="1">
        <f t="array" aca="1" ref="N183" ca="1">_xll.d.TestUtils_Equal(L183,M183)</f>
        <v>Ok</v>
      </c>
      <c r="P183" s="123" t="s">
        <v>233</v>
      </c>
      <c r="Q183" s="301">
        <v>44562</v>
      </c>
      <c r="S183" s="536" t="str" cm="1">
        <f t="array" aca="1" ref="S183" ca="1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aca="1" ref="AA183" ca="1">_xll.d.TestUtils_Equal(S183,W183)</f>
        <v>Ok</v>
      </c>
    </row>
    <row r="184" spans="2:27">
      <c r="B184" s="125" t="s">
        <v>234</v>
      </c>
      <c r="C184" s="313">
        <v>44926</v>
      </c>
      <c r="E184" s="316">
        <f ca="1"/>
        <v>44666</v>
      </c>
      <c r="F184" s="317">
        <v>44666</v>
      </c>
      <c r="G184" s="126" t="str" cm="1">
        <f t="array" aca="1" ref="G184" ca="1">_xll.d.TestUtils_Equal(E184,F184)</f>
        <v>Ok</v>
      </c>
      <c r="I184" s="125" t="s">
        <v>234</v>
      </c>
      <c r="J184" s="313">
        <v>44926</v>
      </c>
      <c r="L184" s="316">
        <f ca="1"/>
        <v>44613</v>
      </c>
      <c r="M184" s="317">
        <v>44613</v>
      </c>
      <c r="N184" s="126" t="str" cm="1">
        <f t="array" aca="1" ref="N184" ca="1">_xll.d.TestUtils_Equal(L184,M184)</f>
        <v>Ok</v>
      </c>
      <c r="P184" s="125" t="s">
        <v>234</v>
      </c>
      <c r="Q184" s="313">
        <v>44926</v>
      </c>
    </row>
    <row r="185" spans="2:27">
      <c r="B185" s="127" t="s">
        <v>216</v>
      </c>
      <c r="C185" s="128" t="s">
        <v>55</v>
      </c>
      <c r="E185" s="316">
        <f ca="1"/>
        <v>44669</v>
      </c>
      <c r="F185" s="317">
        <v>44669</v>
      </c>
      <c r="G185" s="126" t="str" cm="1">
        <f t="array" aca="1" ref="G185" ca="1">_xll.d.TestUtils_Equal(E185,F185)</f>
        <v>Ok</v>
      </c>
      <c r="I185" s="127" t="s">
        <v>216</v>
      </c>
      <c r="J185" s="128" t="s">
        <v>232</v>
      </c>
      <c r="L185" s="316">
        <f ca="1"/>
        <v>44641</v>
      </c>
      <c r="M185" s="317">
        <v>44641</v>
      </c>
      <c r="N185" s="126" t="str" cm="1">
        <f t="array" aca="1" ref="N185" ca="1">_xll.d.TestUtils_Equal(L185,M185)</f>
        <v>Ok</v>
      </c>
      <c r="P185" s="127" t="s">
        <v>216</v>
      </c>
      <c r="Q185" s="128" t="s">
        <v>238</v>
      </c>
    </row>
    <row r="186" spans="2:27">
      <c r="E186" s="316">
        <f ca="1"/>
        <v>44678</v>
      </c>
      <c r="F186" s="317">
        <v>44678</v>
      </c>
      <c r="G186" s="126" t="str" cm="1">
        <f t="array" aca="1" ref="G186" ca="1">_xll.d.TestUtils_Equal(E186,F186)</f>
        <v>Ok</v>
      </c>
      <c r="L186" s="316">
        <f ca="1"/>
        <v>44666</v>
      </c>
      <c r="M186" s="317">
        <v>44666</v>
      </c>
      <c r="N186" s="126" t="str" cm="1">
        <f t="array" aca="1" ref="N186" ca="1">_xll.d.TestUtils_Equal(L186,M186)</f>
        <v>Ok</v>
      </c>
    </row>
    <row r="187" spans="2:27">
      <c r="E187" s="316">
        <f ca="1"/>
        <v>44683</v>
      </c>
      <c r="F187" s="317">
        <v>44683</v>
      </c>
      <c r="G187" s="126" t="str" cm="1">
        <f t="array" aca="1" ref="G187" ca="1">_xll.d.TestUtils_Equal(E187,F187)</f>
        <v>Ok</v>
      </c>
      <c r="L187" s="316">
        <f ca="1"/>
        <v>44669</v>
      </c>
      <c r="M187" s="317">
        <v>44669</v>
      </c>
      <c r="N187" s="126" t="str" cm="1">
        <f t="array" aca="1" ref="N187" ca="1">_xll.d.TestUtils_Equal(L187,M187)</f>
        <v>Ok</v>
      </c>
    </row>
    <row r="188" spans="2:27">
      <c r="E188" s="316">
        <f ca="1"/>
        <v>44728</v>
      </c>
      <c r="F188" s="317">
        <v>44728</v>
      </c>
      <c r="G188" s="126" t="str" cm="1">
        <f t="array" aca="1" ref="G188" ca="1">_xll.d.TestUtils_Equal(E188,F188)</f>
        <v>Ok</v>
      </c>
      <c r="L188" s="316">
        <f ca="1"/>
        <v>44678</v>
      </c>
      <c r="M188" s="317">
        <v>44678</v>
      </c>
      <c r="N188" s="126" t="str" cm="1">
        <f t="array" aca="1" ref="N188" ca="1">_xll.d.TestUtils_Equal(L188,M188)</f>
        <v>Ok</v>
      </c>
    </row>
    <row r="189" spans="2:27">
      <c r="E189" s="316">
        <f ca="1"/>
        <v>44782</v>
      </c>
      <c r="F189" s="317">
        <v>44782</v>
      </c>
      <c r="G189" s="126" t="str" cm="1">
        <f t="array" aca="1" ref="G189" ca="1">_xll.d.TestUtils_Equal(E189,F189)</f>
        <v>Ok</v>
      </c>
      <c r="L189" s="316">
        <f ca="1"/>
        <v>44683</v>
      </c>
      <c r="M189" s="317">
        <v>44683</v>
      </c>
      <c r="N189" s="126" t="str" cm="1">
        <f t="array" aca="1" ref="N189" ca="1">_xll.d.TestUtils_Equal(L189,M189)</f>
        <v>Ok</v>
      </c>
    </row>
    <row r="190" spans="2:27">
      <c r="E190" s="316">
        <f ca="1"/>
        <v>44911</v>
      </c>
      <c r="F190" s="317">
        <v>44911</v>
      </c>
      <c r="G190" s="126" t="str" cm="1">
        <f t="array" aca="1" ref="G190" ca="1">_xll.d.TestUtils_Equal(E190,F190)</f>
        <v>Ok</v>
      </c>
      <c r="L190" s="316">
        <f ca="1"/>
        <v>44711</v>
      </c>
      <c r="M190" s="317">
        <v>44711</v>
      </c>
      <c r="N190" s="126" t="str" cm="1">
        <f t="array" aca="1" ref="N190" ca="1">_xll.d.TestUtils_Equal(L190,M190)</f>
        <v>Ok</v>
      </c>
    </row>
    <row r="191" spans="2:27">
      <c r="E191" s="318">
        <f ca="1"/>
        <v>44921</v>
      </c>
      <c r="F191" s="319">
        <v>44921</v>
      </c>
      <c r="G191" s="128" t="str" cm="1">
        <f t="array" aca="1" ref="G191" ca="1">_xll.d.TestUtils_Equal(E191,F191)</f>
        <v>Ok</v>
      </c>
      <c r="L191" s="316">
        <f ca="1"/>
        <v>44728</v>
      </c>
      <c r="M191" s="317">
        <v>44728</v>
      </c>
      <c r="N191" s="126" t="str" cm="1">
        <f t="array" aca="1" ref="N191" ca="1">_xll.d.TestUtils_Equal(L191,M191)</f>
        <v>Ok</v>
      </c>
    </row>
    <row r="192" spans="2:27">
      <c r="G192" s="299"/>
      <c r="L192" s="316">
        <f ca="1"/>
        <v>44732</v>
      </c>
      <c r="M192" s="317">
        <v>44732</v>
      </c>
      <c r="N192" s="126" t="str" cm="1">
        <f t="array" aca="1" ref="N192" ca="1">_xll.d.TestUtils_Equal(L192,M192)</f>
        <v>Ok</v>
      </c>
    </row>
    <row r="193" spans="2:35">
      <c r="G193" s="299"/>
      <c r="L193" s="316">
        <f ca="1"/>
        <v>44746</v>
      </c>
      <c r="M193" s="317">
        <v>44746</v>
      </c>
      <c r="N193" s="126" t="str" cm="1">
        <f t="array" aca="1" ref="N193" ca="1">_xll.d.TestUtils_Equal(L193,M193)</f>
        <v>Ok</v>
      </c>
    </row>
    <row r="194" spans="2:35">
      <c r="G194" s="299"/>
      <c r="L194" s="316">
        <f ca="1"/>
        <v>44782</v>
      </c>
      <c r="M194" s="317">
        <v>44782</v>
      </c>
      <c r="N194" s="126" t="str" cm="1">
        <f t="array" aca="1" ref="N194" ca="1">_xll.d.TestUtils_Equal(L194,M194)</f>
        <v>Ok</v>
      </c>
    </row>
    <row r="195" spans="2:35">
      <c r="G195" s="299"/>
      <c r="L195" s="316">
        <f ca="1"/>
        <v>44809</v>
      </c>
      <c r="M195" s="317">
        <v>44809</v>
      </c>
      <c r="N195" s="126" t="str" cm="1">
        <f t="array" aca="1" ref="N195" ca="1">_xll.d.TestUtils_Equal(L195,M195)</f>
        <v>Ok</v>
      </c>
    </row>
    <row r="196" spans="2:35">
      <c r="G196" s="299"/>
      <c r="L196" s="316">
        <f ca="1"/>
        <v>44844</v>
      </c>
      <c r="M196" s="317">
        <v>44844</v>
      </c>
      <c r="N196" s="126" t="str" cm="1">
        <f t="array" aca="1" ref="N196" ca="1">_xll.d.TestUtils_Equal(L196,M196)</f>
        <v>Ok</v>
      </c>
    </row>
    <row r="197" spans="2:35">
      <c r="G197" s="299"/>
      <c r="L197" s="316">
        <f ca="1"/>
        <v>44876</v>
      </c>
      <c r="M197" s="317">
        <v>44876</v>
      </c>
      <c r="N197" s="126" t="str" cm="1">
        <f t="array" aca="1" ref="N197" ca="1">_xll.d.TestUtils_Equal(L197,M197)</f>
        <v>Ok</v>
      </c>
    </row>
    <row r="198" spans="2:35">
      <c r="G198" s="299"/>
      <c r="L198" s="316">
        <f ca="1"/>
        <v>44889</v>
      </c>
      <c r="M198" s="317">
        <v>44889</v>
      </c>
      <c r="N198" s="126" t="str" cm="1">
        <f t="array" aca="1" ref="N198" ca="1">_xll.d.TestUtils_Equal(L198,M198)</f>
        <v>Ok</v>
      </c>
    </row>
    <row r="199" spans="2:35">
      <c r="G199" s="299"/>
      <c r="L199" s="316">
        <f ca="1"/>
        <v>44911</v>
      </c>
      <c r="M199" s="317">
        <v>44911</v>
      </c>
      <c r="N199" s="126" t="str" cm="1">
        <f t="array" aca="1" ref="N199" ca="1">_xll.d.TestUtils_Equal(L199,M199)</f>
        <v>Ok</v>
      </c>
    </row>
    <row r="200" spans="2:35">
      <c r="G200" s="299"/>
      <c r="L200" s="318">
        <f ca="1"/>
        <v>44921</v>
      </c>
      <c r="M200" s="319">
        <v>44921</v>
      </c>
      <c r="N200" s="128" t="str" cm="1">
        <f t="array" aca="1" ref="N200" ca="1">_xll.d.TestUtils_Equal(L200,M200)</f>
        <v>Ok</v>
      </c>
    </row>
    <row r="203" spans="2:35" ht="18.75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>
      <c r="B205" s="50" t="s">
        <v>141</v>
      </c>
      <c r="C205" s="300" t="str" cm="1">
        <f t="array" aca="1" ref="C205" ca="1">_xll.d.TestUtils_And(G210:G214,N210:N214,U210:U214)</f>
        <v>Ok</v>
      </c>
    </row>
    <row r="207" spans="2:35" ht="15.7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>
      <c r="B210" s="123" t="s">
        <v>233</v>
      </c>
      <c r="C210" s="301">
        <v>44743</v>
      </c>
      <c r="E210" s="314">
        <f t="array" aca="1" ref="E210:E214" ca="1">_xll.d.Dates_GenerateSchedule(C210,C211,C212,C213,C214,C215)</f>
        <v>44743</v>
      </c>
      <c r="F210" s="301">
        <v>44743</v>
      </c>
      <c r="G210" s="300" t="str" cm="1">
        <f t="array" aca="1" ref="G210" ca="1">_xll.d.TestUtils_Equal(E210,F210)</f>
        <v>Ok</v>
      </c>
      <c r="I210" s="123" t="s">
        <v>233</v>
      </c>
      <c r="J210" s="301">
        <v>44743</v>
      </c>
      <c r="L210" s="314">
        <f t="array" aca="1" ref="L210:L214" ca="1">_xll.d.Dates_GenerateSchedule(J210,J211,J212,J213,J214,J215)</f>
        <v>44743</v>
      </c>
      <c r="M210" s="301">
        <v>44743</v>
      </c>
      <c r="N210" s="300" t="str" cm="1">
        <f t="array" aca="1" ref="N210" ca="1">_xll.d.TestUtils_Equal(L210,M210)</f>
        <v>Ok</v>
      </c>
      <c r="P210" s="123" t="s">
        <v>233</v>
      </c>
      <c r="Q210" s="301">
        <v>44743</v>
      </c>
      <c r="S210" s="314">
        <f t="array" aca="1" ref="S210:S214" ca="1">_xll.d.Dates_GenerateSchedule(Q210,Q211,Q212,Q213,Q214,Q215)</f>
        <v>44743</v>
      </c>
      <c r="T210" s="301">
        <v>44743</v>
      </c>
      <c r="U210" s="300" t="str" cm="1">
        <f t="array" aca="1" ref="U210" ca="1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aca="1" ref="AA210" ca="1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aca="1" ref="AI210" ca="1">_xll.d.TestUtils_Equal(AA210,AE210)</f>
        <v>Error</v>
      </c>
    </row>
    <row r="211" spans="2:35">
      <c r="B211" s="125" t="s">
        <v>234</v>
      </c>
      <c r="C211" s="313">
        <v>45474</v>
      </c>
      <c r="E211" s="316">
        <f ca="1"/>
        <v>44837</v>
      </c>
      <c r="F211" s="313">
        <v>44837</v>
      </c>
      <c r="G211" s="300" t="str" cm="1">
        <f t="array" aca="1" ref="G211" ca="1">_xll.d.TestUtils_Equal(E211,F211)</f>
        <v>Ok</v>
      </c>
      <c r="I211" s="125" t="s">
        <v>234</v>
      </c>
      <c r="J211" s="313">
        <v>45108</v>
      </c>
      <c r="L211" s="316">
        <f ca="1"/>
        <v>44837</v>
      </c>
      <c r="M211" s="313">
        <v>44837</v>
      </c>
      <c r="N211" s="300" t="str" cm="1">
        <f t="array" aca="1" ref="N211" ca="1">_xll.d.TestUtils_Equal(L211,M211)</f>
        <v>Ok</v>
      </c>
      <c r="P211" s="125" t="s">
        <v>234</v>
      </c>
      <c r="Q211" s="313">
        <v>45108</v>
      </c>
      <c r="S211" s="316">
        <f ca="1"/>
        <v>44824</v>
      </c>
      <c r="T211" s="313">
        <v>44824</v>
      </c>
      <c r="U211" s="300" t="str" cm="1">
        <f t="array" aca="1" ref="U211" ca="1">_xll.d.TestUtils_Equal(S211,T211)</f>
        <v>Ok</v>
      </c>
      <c r="W211" s="457" t="s">
        <v>234</v>
      </c>
      <c r="X211" s="539"/>
      <c r="Y211" s="313">
        <v>45108</v>
      </c>
    </row>
    <row r="212" spans="2:35">
      <c r="B212" s="125" t="s">
        <v>331</v>
      </c>
      <c r="C212" s="126" t="s">
        <v>24</v>
      </c>
      <c r="E212" s="316">
        <f ca="1"/>
        <v>44929</v>
      </c>
      <c r="F212" s="313">
        <v>44929</v>
      </c>
      <c r="G212" s="300" t="str" cm="1">
        <f t="array" aca="1" ref="G212" ca="1">_xll.d.TestUtils_Equal(E212,F212)</f>
        <v>Ok</v>
      </c>
      <c r="I212" s="125" t="s">
        <v>331</v>
      </c>
      <c r="J212" s="126" t="s">
        <v>24</v>
      </c>
      <c r="L212" s="316">
        <f ca="1"/>
        <v>44929</v>
      </c>
      <c r="M212" s="313">
        <v>44929</v>
      </c>
      <c r="N212" s="300" t="str" cm="1">
        <f t="array" aca="1" ref="N212" ca="1">_xll.d.TestUtils_Equal(L212,M212)</f>
        <v>Ok</v>
      </c>
      <c r="P212" s="125" t="s">
        <v>331</v>
      </c>
      <c r="Q212" s="126" t="s">
        <v>24</v>
      </c>
      <c r="S212" s="316">
        <f ca="1"/>
        <v>44915</v>
      </c>
      <c r="T212" s="313">
        <v>44915</v>
      </c>
      <c r="U212" s="300" t="str" cm="1">
        <f t="array" aca="1" ref="U212" ca="1">_xll.d.TestUtils_Equal(S212,T212)</f>
        <v>Ok</v>
      </c>
      <c r="W212" s="457" t="s">
        <v>331</v>
      </c>
      <c r="X212" s="539"/>
      <c r="Y212" s="126" t="s">
        <v>24</v>
      </c>
    </row>
    <row r="213" spans="2:35">
      <c r="B213" s="125" t="s">
        <v>332</v>
      </c>
      <c r="C213" s="126" t="s">
        <v>232</v>
      </c>
      <c r="E213" s="316">
        <f ca="1"/>
        <v>45019</v>
      </c>
      <c r="F213" s="313">
        <v>45019</v>
      </c>
      <c r="G213" s="300" t="str" cm="1">
        <f t="array" aca="1" ref="G213" ca="1">_xll.d.TestUtils_Equal(E213,F213)</f>
        <v>Ok</v>
      </c>
      <c r="I213" s="125" t="s">
        <v>332</v>
      </c>
      <c r="J213" s="126" t="s">
        <v>232</v>
      </c>
      <c r="L213" s="316">
        <f ca="1"/>
        <v>45019</v>
      </c>
      <c r="M213" s="313">
        <v>45019</v>
      </c>
      <c r="N213" s="300" t="str" cm="1">
        <f t="array" aca="1" ref="N213" ca="1">_xll.d.TestUtils_Equal(L213,M213)</f>
        <v>Ok</v>
      </c>
      <c r="P213" s="125" t="s">
        <v>332</v>
      </c>
      <c r="Q213" s="126" t="s">
        <v>232</v>
      </c>
      <c r="S213" s="316">
        <f ca="1"/>
        <v>45005</v>
      </c>
      <c r="T213" s="313">
        <v>45005</v>
      </c>
      <c r="U213" s="300" t="str" cm="1">
        <f t="array" aca="1" ref="U213" ca="1">_xll.d.TestUtils_Equal(S213,T213)</f>
        <v>Ok</v>
      </c>
      <c r="W213" s="457" t="s">
        <v>332</v>
      </c>
      <c r="X213" s="539"/>
      <c r="Y213" s="126" t="s">
        <v>238</v>
      </c>
    </row>
    <row r="214" spans="2:35">
      <c r="B214" s="125" t="s">
        <v>217</v>
      </c>
      <c r="C214" s="126" t="s">
        <v>218</v>
      </c>
      <c r="E214" s="318">
        <f ca="1"/>
        <v>45110</v>
      </c>
      <c r="F214" s="321">
        <v>45110</v>
      </c>
      <c r="G214" s="300" t="str" cm="1">
        <f t="array" aca="1" ref="G214" ca="1">_xll.d.TestUtils_Equal(E214,F214)</f>
        <v>Ok</v>
      </c>
      <c r="I214" s="125" t="s">
        <v>217</v>
      </c>
      <c r="J214" s="126" t="s">
        <v>218</v>
      </c>
      <c r="L214" s="318">
        <f ca="1"/>
        <v>45110</v>
      </c>
      <c r="M214" s="321">
        <v>45110</v>
      </c>
      <c r="N214" s="300" t="str" cm="1">
        <f t="array" aca="1" ref="N214" ca="1">_xll.d.TestUtils_Equal(L214,M214)</f>
        <v>Ok</v>
      </c>
      <c r="P214" s="125" t="s">
        <v>217</v>
      </c>
      <c r="Q214" s="126" t="s">
        <v>218</v>
      </c>
      <c r="S214" s="318">
        <f ca="1"/>
        <v>45097</v>
      </c>
      <c r="T214" s="321">
        <v>45097</v>
      </c>
      <c r="U214" s="300" t="str" cm="1">
        <f t="array" aca="1" ref="U214" ca="1">_xll.d.TestUtils_Equal(S214,T214)</f>
        <v>Ok</v>
      </c>
      <c r="W214" s="457" t="s">
        <v>217</v>
      </c>
      <c r="X214" s="539"/>
      <c r="Y214" s="126" t="s">
        <v>218</v>
      </c>
    </row>
    <row r="215" spans="2:35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>
      <c r="B221" s="50" t="s">
        <v>141</v>
      </c>
      <c r="C221" s="300" t="str" cm="1">
        <f t="array" aca="1" ref="C221" ca="1">_xll.d.TestUtils_And(H226:I230)</f>
        <v>Ok</v>
      </c>
    </row>
    <row r="223" spans="2:35" ht="15.7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>
      <c r="B226" s="119" t="str" cm="1">
        <f t="array" aca="1" ref="B226:C230" ca="1">_xll.d.Dates_GetAvailableBusinessDayConventions()</f>
        <v>Variant 1</v>
      </c>
      <c r="C226" s="120" t="str">
        <f ca="1"/>
        <v>Variant 2</v>
      </c>
      <c r="E226" s="119" t="s">
        <v>245</v>
      </c>
      <c r="F226" s="120" t="s">
        <v>246</v>
      </c>
      <c r="H226" s="300" t="str" cm="1">
        <f t="array" aca="1" ref="H226" ca="1">_xll.d.TestUtils_Equal(B226,E226)</f>
        <v>Ok</v>
      </c>
      <c r="I226" s="300" t="str" cm="1">
        <f t="array" aca="1" ref="I226" ca="1">_xll.d.TestUtils_Equal(C226,F226)</f>
        <v>Ok</v>
      </c>
    </row>
    <row r="227" spans="2:21">
      <c r="B227" s="123" t="str">
        <f ca="1"/>
        <v>Fol</v>
      </c>
      <c r="C227" s="124" t="str">
        <f ca="1"/>
        <v>Following</v>
      </c>
      <c r="E227" s="123" t="s">
        <v>247</v>
      </c>
      <c r="F227" s="124" t="s">
        <v>248</v>
      </c>
      <c r="H227" s="300" t="str" cm="1">
        <f t="array" aca="1" ref="H227" ca="1">_xll.d.TestUtils_Equal(B227,E227)</f>
        <v>Ok</v>
      </c>
      <c r="I227" s="300" t="str" cm="1">
        <f t="array" aca="1" ref="I227" ca="1">_xll.d.TestUtils_Equal(C227,F227)</f>
        <v>Ok</v>
      </c>
    </row>
    <row r="228" spans="2:21">
      <c r="B228" s="125" t="str">
        <f ca="1"/>
        <v>ModFol</v>
      </c>
      <c r="C228" s="126" t="str">
        <f ca="1"/>
        <v>ModifiedFollowing</v>
      </c>
      <c r="E228" s="125" t="s">
        <v>249</v>
      </c>
      <c r="F228" s="126" t="s">
        <v>250</v>
      </c>
      <c r="H228" s="300" t="str" cm="1">
        <f t="array" aca="1" ref="H228" ca="1">_xll.d.TestUtils_Equal(B228,E228)</f>
        <v>Ok</v>
      </c>
      <c r="I228" s="300" t="str" cm="1">
        <f t="array" aca="1" ref="I228" ca="1">_xll.d.TestUtils_Equal(C228,F228)</f>
        <v>Ok</v>
      </c>
    </row>
    <row r="229" spans="2:21">
      <c r="B229" s="125" t="str">
        <f ca="1"/>
        <v>ModPrec</v>
      </c>
      <c r="C229" s="126" t="str">
        <f ca="1"/>
        <v>ModPreceding</v>
      </c>
      <c r="E229" s="125" t="s">
        <v>251</v>
      </c>
      <c r="F229" s="126" t="s">
        <v>252</v>
      </c>
      <c r="H229" s="300" t="str" cm="1">
        <f t="array" aca="1" ref="H229" ca="1">_xll.d.TestUtils_Equal(B229,E229)</f>
        <v>Ok</v>
      </c>
      <c r="I229" s="300" t="str" cm="1">
        <f t="array" aca="1" ref="I229" ca="1">_xll.d.TestUtils_Equal(C229,F229)</f>
        <v>Ok</v>
      </c>
    </row>
    <row r="230" spans="2:21">
      <c r="B230" s="127" t="str">
        <f ca="1"/>
        <v>Prec</v>
      </c>
      <c r="C230" s="128" t="str">
        <f ca="1"/>
        <v>Preceding</v>
      </c>
      <c r="E230" s="127" t="s">
        <v>253</v>
      </c>
      <c r="F230" s="128" t="s">
        <v>254</v>
      </c>
      <c r="H230" s="300" t="str" cm="1">
        <f t="array" aca="1" ref="H230" ca="1">_xll.d.TestUtils_Equal(B230,E230)</f>
        <v>Ok</v>
      </c>
      <c r="I230" s="300" t="str" cm="1">
        <f t="array" aca="1" ref="I230" ca="1">_xll.d.TestUtils_Equal(C230,F230)</f>
        <v>Ok</v>
      </c>
    </row>
    <row r="234" spans="2:21" ht="18.75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>
      <c r="B236" s="50" t="s">
        <v>141</v>
      </c>
      <c r="C236" s="300" t="str" cm="1">
        <f t="array" aca="1" ref="C236" ca="1">_xll.d.TestUtils_And(L241:O245)</f>
        <v>Ok</v>
      </c>
    </row>
    <row r="238" spans="2:21" ht="15.7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>
      <c r="B241" s="119" t="str" cm="1">
        <f t="array" aca="1" ref="B241:E245" ca="1">_xll.d.Dates_GetAvailableDayCountConventions()</f>
        <v>Variant 1</v>
      </c>
      <c r="C241" s="291" t="str">
        <f ca="1"/>
        <v>Variant 2</v>
      </c>
      <c r="D241" s="291" t="str">
        <f ca="1"/>
        <v>Variant 3</v>
      </c>
      <c r="E241" s="120" t="str">
        <f ca="1"/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aca="1" ref="L241" ca="1">_xll.d.TestUtils_Equal(B241,G241)</f>
        <v>Ok</v>
      </c>
      <c r="M241" s="300" t="str" cm="1">
        <f t="array" aca="1" ref="M241" ca="1">_xll.d.TestUtils_Equal(C241,H241)</f>
        <v>Ok</v>
      </c>
      <c r="N241" s="300" t="str" cm="1">
        <f t="array" aca="1" ref="N241" ca="1">_xll.d.TestUtils_Equal(D241,I241)</f>
        <v>Ok</v>
      </c>
      <c r="O241" s="300" t="str" cm="1">
        <f t="array" aca="1" ref="O241" ca="1">_xll.d.TestUtils_Equal(E241,J241)</f>
        <v>Ok</v>
      </c>
    </row>
    <row r="242" spans="2:15">
      <c r="B242" s="123" t="str">
        <f ca="1"/>
        <v>Act360</v>
      </c>
      <c r="C242" s="320" t="str">
        <f ca="1"/>
        <v>Actual360</v>
      </c>
      <c r="D242" s="320" t="str">
        <f ca="1"/>
        <v/>
      </c>
      <c r="E242" s="124" t="str">
        <f ca="1"/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aca="1" ref="L242" ca="1">_xll.d.TestUtils_Equal(B242,G242)</f>
        <v>Ok</v>
      </c>
      <c r="M242" s="300" t="str" cm="1">
        <f t="array" aca="1" ref="M242" ca="1">_xll.d.TestUtils_Equal(C242,H242)</f>
        <v>Ok</v>
      </c>
      <c r="N242" s="300" t="str" cm="1">
        <f t="array" aca="1" ref="N242" ca="1">_xll.d.TestUtils_Equal(D242,I242)</f>
        <v>Ok</v>
      </c>
      <c r="O242" s="300" t="str" cm="1">
        <f t="array" aca="1" ref="O242" ca="1">_xll.d.TestUtils_Equal(E242,J242)</f>
        <v>Ok</v>
      </c>
    </row>
    <row r="243" spans="2:15">
      <c r="B243" s="125" t="str">
        <f ca="1"/>
        <v>Act365</v>
      </c>
      <c r="C243" s="279" t="str">
        <f ca="1"/>
        <v>Act365F</v>
      </c>
      <c r="D243" s="279" t="str">
        <f ca="1"/>
        <v>Actual365</v>
      </c>
      <c r="E243" s="126" t="str">
        <f ca="1"/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aca="1" ref="L243" ca="1">_xll.d.TestUtils_Equal(B243,G243)</f>
        <v>Ok</v>
      </c>
      <c r="M243" s="300" t="str" cm="1">
        <f t="array" aca="1" ref="M243" ca="1">_xll.d.TestUtils_Equal(C243,H243)</f>
        <v>Ok</v>
      </c>
      <c r="N243" s="300" t="str" cm="1">
        <f t="array" aca="1" ref="N243" ca="1">_xll.d.TestUtils_Equal(D243,I243)</f>
        <v>Ok</v>
      </c>
      <c r="O243" s="300" t="str" cm="1">
        <f t="array" aca="1" ref="O243" ca="1">_xll.d.TestUtils_Equal(E243,J243)</f>
        <v>Ok</v>
      </c>
    </row>
    <row r="244" spans="2:15">
      <c r="B244" s="125" t="str">
        <f ca="1"/>
        <v>ActAct</v>
      </c>
      <c r="C244" s="279" t="str">
        <f ca="1"/>
        <v>ActualActual</v>
      </c>
      <c r="D244" s="279" t="str">
        <f ca="1"/>
        <v/>
      </c>
      <c r="E244" s="126" t="str">
        <f ca="1"/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aca="1" ref="L244" ca="1">_xll.d.TestUtils_Equal(B244,G244)</f>
        <v>Ok</v>
      </c>
      <c r="M244" s="300" t="str" cm="1">
        <f t="array" aca="1" ref="M244" ca="1">_xll.d.TestUtils_Equal(C244,H244)</f>
        <v>Ok</v>
      </c>
      <c r="N244" s="300" t="str" cm="1">
        <f t="array" aca="1" ref="N244" ca="1">_xll.d.TestUtils_Equal(D244,I244)</f>
        <v>Ok</v>
      </c>
      <c r="O244" s="300" t="str" cm="1">
        <f t="array" aca="1" ref="O244" ca="1">_xll.d.TestUtils_Equal(E244,J244)</f>
        <v>Ok</v>
      </c>
    </row>
    <row r="245" spans="2:15">
      <c r="B245" s="127" t="str">
        <f ca="1"/>
        <v>Bus252</v>
      </c>
      <c r="C245" s="191" t="str">
        <f ca="1"/>
        <v>Business252</v>
      </c>
      <c r="D245" s="191" t="str">
        <f ca="1"/>
        <v/>
      </c>
      <c r="E245" s="128" t="str">
        <f ca="1"/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aca="1" ref="L245" ca="1">_xll.d.TestUtils_Equal(B245,G245)</f>
        <v>Ok</v>
      </c>
      <c r="M245" s="300" t="str" cm="1">
        <f t="array" aca="1" ref="M245" ca="1">_xll.d.TestUtils_Equal(C245,H245)</f>
        <v>Ok</v>
      </c>
      <c r="N245" s="300" t="str" cm="1">
        <f t="array" aca="1" ref="N245" ca="1">_xll.d.TestUtils_Equal(D245,I245)</f>
        <v>Ok</v>
      </c>
      <c r="O245" s="300" t="str" cm="1">
        <f t="array" aca="1" ref="O245" ca="1">_xll.d.TestUtils_Equal(E245,J245)</f>
        <v>Ok</v>
      </c>
    </row>
    <row r="248" spans="2:15" ht="18.75">
      <c r="B248" s="3" t="s">
        <v>454</v>
      </c>
      <c r="C248" s="306"/>
      <c r="D248" s="306"/>
      <c r="E248" s="306"/>
    </row>
    <row r="250" spans="2:15">
      <c r="B250" s="50" t="s">
        <v>141</v>
      </c>
      <c r="C250" s="300" t="str" cm="1">
        <f t="array" aca="1" ref="C250" ca="1">_xll.d.TestUtils_And(E255:E261)</f>
        <v>Ok</v>
      </c>
    </row>
    <row r="252" spans="2:15" ht="15.75">
      <c r="B252" s="4" t="s">
        <v>91</v>
      </c>
      <c r="C252" s="307"/>
      <c r="D252" s="307"/>
      <c r="E252" s="307"/>
    </row>
    <row r="254" spans="2:15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>
      <c r="B255" s="314">
        <v>44893</v>
      </c>
      <c r="C255" s="320" t="str" cm="1">
        <f t="array" aca="1" ref="C255" ca="1">_xll.d.Dates_GetWeekday(B255)</f>
        <v>Monday</v>
      </c>
      <c r="D255" s="320" t="str" cm="1">
        <f t="array" aca="1" ref="D255" ca="1">_xll.d.Dates_GetWeekday(B255)</f>
        <v>Monday</v>
      </c>
      <c r="E255" s="124" t="str" cm="1">
        <f t="array" aca="1" ref="E255" ca="1">_xll.d.TestUtils_Equal(C255,D255)</f>
        <v>Ok</v>
      </c>
    </row>
    <row r="256" spans="2:15">
      <c r="B256" s="316">
        <v>44894</v>
      </c>
      <c r="C256" s="279" t="str" cm="1">
        <f t="array" aca="1" ref="C256" ca="1">_xll.d.Dates_GetWeekday(B256)</f>
        <v>Tuesday</v>
      </c>
      <c r="D256" s="279" t="str" cm="1">
        <f t="array" aca="1" ref="D256" ca="1">_xll.d.Dates_GetWeekday(B256)</f>
        <v>Tuesday</v>
      </c>
      <c r="E256" s="126" t="str" cm="1">
        <f t="array" aca="1" ref="E256" ca="1">_xll.d.TestUtils_Equal(C256,D256)</f>
        <v>Ok</v>
      </c>
    </row>
    <row r="257" spans="2:5">
      <c r="B257" s="316">
        <v>44895</v>
      </c>
      <c r="C257" s="279" t="str" cm="1">
        <f t="array" aca="1" ref="C257" ca="1">_xll.d.Dates_GetWeekday(B257)</f>
        <v>Wednesday</v>
      </c>
      <c r="D257" s="279" t="str" cm="1">
        <f t="array" aca="1" ref="D257" ca="1">_xll.d.Dates_GetWeekday(B257)</f>
        <v>Wednesday</v>
      </c>
      <c r="E257" s="126" t="str" cm="1">
        <f t="array" aca="1" ref="E257" ca="1">_xll.d.TestUtils_Equal(C257,D257)</f>
        <v>Ok</v>
      </c>
    </row>
    <row r="258" spans="2:5">
      <c r="B258" s="316">
        <v>44896</v>
      </c>
      <c r="C258" s="279" t="str" cm="1">
        <f t="array" aca="1" ref="C258" ca="1">_xll.d.Dates_GetWeekday(B258)</f>
        <v>Thursday</v>
      </c>
      <c r="D258" s="279" t="str" cm="1">
        <f t="array" aca="1" ref="D258" ca="1">_xll.d.Dates_GetWeekday(B258)</f>
        <v>Thursday</v>
      </c>
      <c r="E258" s="126" t="str" cm="1">
        <f t="array" aca="1" ref="E258" ca="1">_xll.d.TestUtils_Equal(C258,D258)</f>
        <v>Ok</v>
      </c>
    </row>
    <row r="259" spans="2:5">
      <c r="B259" s="316">
        <v>44897</v>
      </c>
      <c r="C259" s="279" t="str" cm="1">
        <f t="array" aca="1" ref="C259" ca="1">_xll.d.Dates_GetWeekday(B259)</f>
        <v>Friday</v>
      </c>
      <c r="D259" s="279" t="str" cm="1">
        <f t="array" aca="1" ref="D259" ca="1">_xll.d.Dates_GetWeekday(B259)</f>
        <v>Friday</v>
      </c>
      <c r="E259" s="126" t="str" cm="1">
        <f t="array" aca="1" ref="E259" ca="1">_xll.d.TestUtils_Equal(C259,D259)</f>
        <v>Ok</v>
      </c>
    </row>
    <row r="260" spans="2:5">
      <c r="B260" s="316">
        <v>44898</v>
      </c>
      <c r="C260" s="279" t="str" cm="1">
        <f t="array" aca="1" ref="C260" ca="1">_xll.d.Dates_GetWeekday(B260)</f>
        <v>Saturday</v>
      </c>
      <c r="D260" s="279" t="str" cm="1">
        <f t="array" aca="1" ref="D260" ca="1">_xll.d.Dates_GetWeekday(B260)</f>
        <v>Saturday</v>
      </c>
      <c r="E260" s="126" t="str" cm="1">
        <f t="array" aca="1" ref="E260" ca="1">_xll.d.TestUtils_Equal(C260,D260)</f>
        <v>Ok</v>
      </c>
    </row>
    <row r="261" spans="2:5">
      <c r="B261" s="318">
        <v>44899</v>
      </c>
      <c r="C261" s="191" t="str" cm="1">
        <f t="array" aca="1" ref="C261" ca="1">_xll.d.Dates_GetWeekday(B261)</f>
        <v>Sunday</v>
      </c>
      <c r="D261" s="191" t="str" cm="1">
        <f t="array" aca="1" ref="D261" ca="1">_xll.d.Dates_GetWeekday(B261)</f>
        <v>Sunday</v>
      </c>
      <c r="E261" s="128" t="str" cm="1">
        <f t="array" aca="1" ref="E261" ca="1">_xll.d.TestUtils_Equal(C261,D261)</f>
        <v>Ok</v>
      </c>
    </row>
    <row r="271" spans="2:5">
      <c r="D271" s="552"/>
      <c r="E271" s="552"/>
    </row>
    <row r="272" spans="2:5">
      <c r="D272" s="552"/>
      <c r="E272" s="552"/>
    </row>
    <row r="273" spans="2:5">
      <c r="B273" s="552"/>
      <c r="D273" s="552"/>
      <c r="E273" s="552"/>
    </row>
    <row r="274" spans="2:5">
      <c r="B274" s="552"/>
      <c r="D274" s="552"/>
      <c r="E274" s="552"/>
    </row>
    <row r="275" spans="2:5">
      <c r="D275" s="552"/>
      <c r="E275" s="552"/>
    </row>
    <row r="276" spans="2:5">
      <c r="E276" s="552"/>
    </row>
  </sheetData>
  <conditionalFormatting sqref="D11:D17">
    <cfRule type="cellIs" dxfId="870" priority="165" stopIfTrue="1" operator="equal">
      <formula>"ERROR"</formula>
    </cfRule>
    <cfRule type="cellIs" dxfId="869" priority="166" stopIfTrue="1" operator="equal">
      <formula>"OK"</formula>
    </cfRule>
    <cfRule type="cellIs" dxfId="868" priority="167" stopIfTrue="1" operator="equal">
      <formula>"WARNING"</formula>
    </cfRule>
  </conditionalFormatting>
  <conditionalFormatting sqref="C4">
    <cfRule type="cellIs" dxfId="867" priority="139" stopIfTrue="1" operator="equal">
      <formula>"ERROR"</formula>
    </cfRule>
    <cfRule type="cellIs" dxfId="866" priority="140" stopIfTrue="1" operator="equal">
      <formula>"OK"</formula>
    </cfRule>
    <cfRule type="cellIs" dxfId="865" priority="141" stopIfTrue="1" operator="equal">
      <formula>"WARNING"</formula>
    </cfRule>
  </conditionalFormatting>
  <conditionalFormatting sqref="C74">
    <cfRule type="cellIs" dxfId="864" priority="133" stopIfTrue="1" operator="equal">
      <formula>"ERROR"</formula>
    </cfRule>
  </conditionalFormatting>
  <conditionalFormatting sqref="C74">
    <cfRule type="cellIs" dxfId="863" priority="134" stopIfTrue="1" operator="equal">
      <formula>"OK"</formula>
    </cfRule>
  </conditionalFormatting>
  <conditionalFormatting sqref="C74">
    <cfRule type="cellIs" dxfId="862" priority="135" stopIfTrue="1" operator="equal">
      <formula>"WARNING"</formula>
    </cfRule>
  </conditionalFormatting>
  <conditionalFormatting sqref="G79">
    <cfRule type="cellIs" dxfId="861" priority="168" stopIfTrue="1" operator="equal">
      <formula>"ERROR"</formula>
    </cfRule>
    <cfRule type="cellIs" dxfId="860" priority="169" stopIfTrue="1" operator="equal">
      <formula>"OK"</formula>
    </cfRule>
    <cfRule type="cellIs" dxfId="859" priority="170" stopIfTrue="1" operator="equal">
      <formula>"WARNING"</formula>
    </cfRule>
  </conditionalFormatting>
  <conditionalFormatting sqref="U79">
    <cfRule type="cellIs" dxfId="858" priority="130" stopIfTrue="1" operator="equal">
      <formula>"ERROR"</formula>
    </cfRule>
    <cfRule type="cellIs" dxfId="857" priority="131" stopIfTrue="1" operator="equal">
      <formula>"OK"</formula>
    </cfRule>
    <cfRule type="cellIs" dxfId="856" priority="132" stopIfTrue="1" operator="equal">
      <formula>"WARNING"</formula>
    </cfRule>
  </conditionalFormatting>
  <conditionalFormatting sqref="AD79">
    <cfRule type="cellIs" dxfId="855" priority="127" stopIfTrue="1" operator="equal">
      <formula>"ERROR"</formula>
    </cfRule>
    <cfRule type="cellIs" dxfId="854" priority="128" stopIfTrue="1" operator="equal">
      <formula>"OK"</formula>
    </cfRule>
    <cfRule type="cellIs" dxfId="853" priority="129" stopIfTrue="1" operator="equal">
      <formula>"WARNING"</formula>
    </cfRule>
  </conditionalFormatting>
  <conditionalFormatting sqref="G183:G191">
    <cfRule type="cellIs" dxfId="852" priority="171" stopIfTrue="1" operator="equal">
      <formula>"ERROR"</formula>
    </cfRule>
    <cfRule type="cellIs" dxfId="851" priority="172" stopIfTrue="1" operator="equal">
      <formula>"OK"</formula>
    </cfRule>
    <cfRule type="cellIs" dxfId="850" priority="173" stopIfTrue="1" operator="equal">
      <formula>"WARNING"</formula>
    </cfRule>
  </conditionalFormatting>
  <conditionalFormatting sqref="C178">
    <cfRule type="cellIs" dxfId="849" priority="124" stopIfTrue="1" operator="equal">
      <formula>"ERROR"</formula>
    </cfRule>
  </conditionalFormatting>
  <conditionalFormatting sqref="C178">
    <cfRule type="cellIs" dxfId="848" priority="125" stopIfTrue="1" operator="equal">
      <formula>"OK"</formula>
    </cfRule>
  </conditionalFormatting>
  <conditionalFormatting sqref="C178">
    <cfRule type="cellIs" dxfId="847" priority="126" stopIfTrue="1" operator="equal">
      <formula>"WARNING"</formula>
    </cfRule>
  </conditionalFormatting>
  <conditionalFormatting sqref="N183:N200">
    <cfRule type="cellIs" dxfId="846" priority="121" stopIfTrue="1" operator="equal">
      <formula>"ERROR"</formula>
    </cfRule>
    <cfRule type="cellIs" dxfId="845" priority="122" stopIfTrue="1" operator="equal">
      <formula>"OK"</formula>
    </cfRule>
    <cfRule type="cellIs" dxfId="844" priority="123" stopIfTrue="1" operator="equal">
      <formula>"WARNING"</formula>
    </cfRule>
  </conditionalFormatting>
  <conditionalFormatting sqref="AQ79">
    <cfRule type="cellIs" dxfId="843" priority="118" stopIfTrue="1" operator="equal">
      <formula>"ERROR"</formula>
    </cfRule>
    <cfRule type="cellIs" dxfId="842" priority="119" stopIfTrue="1" operator="equal">
      <formula>"OK"</formula>
    </cfRule>
    <cfRule type="cellIs" dxfId="841" priority="120" stopIfTrue="1" operator="equal">
      <formula>"WARNING"</formula>
    </cfRule>
  </conditionalFormatting>
  <conditionalFormatting sqref="C89">
    <cfRule type="cellIs" dxfId="840" priority="112" stopIfTrue="1" operator="equal">
      <formula>"ERROR"</formula>
    </cfRule>
  </conditionalFormatting>
  <conditionalFormatting sqref="C89">
    <cfRule type="cellIs" dxfId="839" priority="113" stopIfTrue="1" operator="equal">
      <formula>"OK"</formula>
    </cfRule>
  </conditionalFormatting>
  <conditionalFormatting sqref="C89">
    <cfRule type="cellIs" dxfId="838" priority="114" stopIfTrue="1" operator="equal">
      <formula>"WARNING"</formula>
    </cfRule>
  </conditionalFormatting>
  <conditionalFormatting sqref="G94">
    <cfRule type="cellIs" dxfId="837" priority="115" stopIfTrue="1" operator="equal">
      <formula>"ERROR"</formula>
    </cfRule>
    <cfRule type="cellIs" dxfId="836" priority="116" stopIfTrue="1" operator="equal">
      <formula>"OK"</formula>
    </cfRule>
    <cfRule type="cellIs" dxfId="835" priority="117" stopIfTrue="1" operator="equal">
      <formula>"WARNING"</formula>
    </cfRule>
  </conditionalFormatting>
  <conditionalFormatting sqref="N94">
    <cfRule type="cellIs" dxfId="834" priority="109" stopIfTrue="1" operator="equal">
      <formula>"ERROR"</formula>
    </cfRule>
    <cfRule type="cellIs" dxfId="833" priority="110" stopIfTrue="1" operator="equal">
      <formula>"OK"</formula>
    </cfRule>
    <cfRule type="cellIs" dxfId="832" priority="111" stopIfTrue="1" operator="equal">
      <formula>"WARNING"</formula>
    </cfRule>
  </conditionalFormatting>
  <conditionalFormatting sqref="W94">
    <cfRule type="cellIs" dxfId="831" priority="106" stopIfTrue="1" operator="equal">
      <formula>"ERROR"</formula>
    </cfRule>
    <cfRule type="cellIs" dxfId="830" priority="107" stopIfTrue="1" operator="equal">
      <formula>"OK"</formula>
    </cfRule>
    <cfRule type="cellIs" dxfId="829" priority="108" stopIfTrue="1" operator="equal">
      <formula>"WARNING"</formula>
    </cfRule>
  </conditionalFormatting>
  <conditionalFormatting sqref="AJ94">
    <cfRule type="cellIs" dxfId="828" priority="103" stopIfTrue="1" operator="equal">
      <formula>"ERROR"</formula>
    </cfRule>
    <cfRule type="cellIs" dxfId="827" priority="104" stopIfTrue="1" operator="equal">
      <formula>"OK"</formula>
    </cfRule>
    <cfRule type="cellIs" dxfId="826" priority="105" stopIfTrue="1" operator="equal">
      <formula>"WARNING"</formula>
    </cfRule>
  </conditionalFormatting>
  <conditionalFormatting sqref="C104">
    <cfRule type="cellIs" dxfId="825" priority="97" stopIfTrue="1" operator="equal">
      <formula>"ERROR"</formula>
    </cfRule>
  </conditionalFormatting>
  <conditionalFormatting sqref="C104">
    <cfRule type="cellIs" dxfId="824" priority="98" stopIfTrue="1" operator="equal">
      <formula>"OK"</formula>
    </cfRule>
  </conditionalFormatting>
  <conditionalFormatting sqref="C104">
    <cfRule type="cellIs" dxfId="823" priority="99" stopIfTrue="1" operator="equal">
      <formula>"WARNING"</formula>
    </cfRule>
  </conditionalFormatting>
  <conditionalFormatting sqref="G109">
    <cfRule type="cellIs" dxfId="822" priority="100" stopIfTrue="1" operator="equal">
      <formula>"ERROR"</formula>
    </cfRule>
    <cfRule type="cellIs" dxfId="821" priority="101" stopIfTrue="1" operator="equal">
      <formula>"OK"</formula>
    </cfRule>
    <cfRule type="cellIs" dxfId="820" priority="102" stopIfTrue="1" operator="equal">
      <formula>"WARNING"</formula>
    </cfRule>
  </conditionalFormatting>
  <conditionalFormatting sqref="N109">
    <cfRule type="cellIs" dxfId="819" priority="94" stopIfTrue="1" operator="equal">
      <formula>"ERROR"</formula>
    </cfRule>
    <cfRule type="cellIs" dxfId="818" priority="95" stopIfTrue="1" operator="equal">
      <formula>"OK"</formula>
    </cfRule>
    <cfRule type="cellIs" dxfId="817" priority="96" stopIfTrue="1" operator="equal">
      <formula>"WARNING"</formula>
    </cfRule>
  </conditionalFormatting>
  <conditionalFormatting sqref="W109">
    <cfRule type="cellIs" dxfId="816" priority="91" stopIfTrue="1" operator="equal">
      <formula>"ERROR"</formula>
    </cfRule>
    <cfRule type="cellIs" dxfId="815" priority="92" stopIfTrue="1" operator="equal">
      <formula>"OK"</formula>
    </cfRule>
    <cfRule type="cellIs" dxfId="814" priority="93" stopIfTrue="1" operator="equal">
      <formula>"WARNING"</formula>
    </cfRule>
  </conditionalFormatting>
  <conditionalFormatting sqref="AJ109">
    <cfRule type="cellIs" dxfId="813" priority="88" stopIfTrue="1" operator="equal">
      <formula>"ERROR"</formula>
    </cfRule>
    <cfRule type="cellIs" dxfId="812" priority="89" stopIfTrue="1" operator="equal">
      <formula>"OK"</formula>
    </cfRule>
    <cfRule type="cellIs" dxfId="811" priority="90" stopIfTrue="1" operator="equal">
      <formula>"WARNING"</formula>
    </cfRule>
  </conditionalFormatting>
  <conditionalFormatting sqref="G124">
    <cfRule type="cellIs" dxfId="810" priority="82" stopIfTrue="1" operator="equal">
      <formula>"ERROR"</formula>
    </cfRule>
    <cfRule type="cellIs" dxfId="809" priority="83" stopIfTrue="1" operator="equal">
      <formula>"OK"</formula>
    </cfRule>
    <cfRule type="cellIs" dxfId="808" priority="84" stopIfTrue="1" operator="equal">
      <formula>"WARNING"</formula>
    </cfRule>
  </conditionalFormatting>
  <conditionalFormatting sqref="C119">
    <cfRule type="cellIs" dxfId="807" priority="79" stopIfTrue="1" operator="equal">
      <formula>"ERROR"</formula>
    </cfRule>
  </conditionalFormatting>
  <conditionalFormatting sqref="C119">
    <cfRule type="cellIs" dxfId="806" priority="80" stopIfTrue="1" operator="equal">
      <formula>"OK"</formula>
    </cfRule>
  </conditionalFormatting>
  <conditionalFormatting sqref="C119">
    <cfRule type="cellIs" dxfId="805" priority="81" stopIfTrue="1" operator="equal">
      <formula>"WARNING"</formula>
    </cfRule>
  </conditionalFormatting>
  <conditionalFormatting sqref="O124">
    <cfRule type="cellIs" dxfId="804" priority="76" stopIfTrue="1" operator="equal">
      <formula>"ERROR"</formula>
    </cfRule>
    <cfRule type="cellIs" dxfId="803" priority="77" stopIfTrue="1" operator="equal">
      <formula>"OK"</formula>
    </cfRule>
    <cfRule type="cellIs" dxfId="802" priority="78" stopIfTrue="1" operator="equal">
      <formula>"WARNING"</formula>
    </cfRule>
  </conditionalFormatting>
  <conditionalFormatting sqref="AC124">
    <cfRule type="cellIs" dxfId="801" priority="73" stopIfTrue="1" operator="equal">
      <formula>"ERROR"</formula>
    </cfRule>
    <cfRule type="cellIs" dxfId="800" priority="74" stopIfTrue="1" operator="equal">
      <formula>"OK"</formula>
    </cfRule>
    <cfRule type="cellIs" dxfId="799" priority="75" stopIfTrue="1" operator="equal">
      <formula>"WARNING"</formula>
    </cfRule>
  </conditionalFormatting>
  <conditionalFormatting sqref="AS124">
    <cfRule type="cellIs" dxfId="798" priority="70" stopIfTrue="1" operator="equal">
      <formula>"ERROR"</formula>
    </cfRule>
    <cfRule type="cellIs" dxfId="797" priority="71" stopIfTrue="1" operator="equal">
      <formula>"OK"</formula>
    </cfRule>
    <cfRule type="cellIs" dxfId="796" priority="72" stopIfTrue="1" operator="equal">
      <formula>"WARNING"</formula>
    </cfRule>
  </conditionalFormatting>
  <conditionalFormatting sqref="AA183">
    <cfRule type="cellIs" dxfId="795" priority="67" stopIfTrue="1" operator="equal">
      <formula>"ERROR"</formula>
    </cfRule>
    <cfRule type="cellIs" dxfId="794" priority="68" stopIfTrue="1" operator="equal">
      <formula>"OK"</formula>
    </cfRule>
    <cfRule type="cellIs" dxfId="793" priority="69" stopIfTrue="1" operator="equal">
      <formula>"WARNING"</formula>
    </cfRule>
  </conditionalFormatting>
  <conditionalFormatting sqref="C221">
    <cfRule type="cellIs" dxfId="792" priority="64" stopIfTrue="1" operator="equal">
      <formula>"ERROR"</formula>
    </cfRule>
  </conditionalFormatting>
  <conditionalFormatting sqref="C221">
    <cfRule type="cellIs" dxfId="791" priority="65" stopIfTrue="1" operator="equal">
      <formula>"OK"</formula>
    </cfRule>
  </conditionalFormatting>
  <conditionalFormatting sqref="C221">
    <cfRule type="cellIs" dxfId="790" priority="66" stopIfTrue="1" operator="equal">
      <formula>"WARNING"</formula>
    </cfRule>
  </conditionalFormatting>
  <conditionalFormatting sqref="H226:I230">
    <cfRule type="cellIs" dxfId="789" priority="174" stopIfTrue="1" operator="equal">
      <formula>"ERROR"</formula>
    </cfRule>
  </conditionalFormatting>
  <conditionalFormatting sqref="H226:I230">
    <cfRule type="cellIs" dxfId="788" priority="175" stopIfTrue="1" operator="equal">
      <formula>"OK"</formula>
    </cfRule>
  </conditionalFormatting>
  <conditionalFormatting sqref="H226:I230">
    <cfRule type="cellIs" dxfId="787" priority="176" stopIfTrue="1" operator="equal">
      <formula>"WARNING"</formula>
    </cfRule>
  </conditionalFormatting>
  <conditionalFormatting sqref="D16:D17">
    <cfRule type="cellIs" dxfId="786" priority="177" stopIfTrue="1" operator="equal">
      <formula>"ERROR"</formula>
    </cfRule>
    <cfRule type="cellIs" dxfId="785" priority="178" stopIfTrue="1" operator="equal">
      <formula>"OK"</formula>
    </cfRule>
    <cfRule type="cellIs" dxfId="784" priority="179" stopIfTrue="1" operator="equal">
      <formula>"WARNING"</formula>
    </cfRule>
  </conditionalFormatting>
  <conditionalFormatting sqref="D18:D19">
    <cfRule type="cellIs" dxfId="783" priority="180" stopIfTrue="1" operator="equal">
      <formula>"ERROR"</formula>
    </cfRule>
    <cfRule type="cellIs" dxfId="782" priority="181" stopIfTrue="1" operator="equal">
      <formula>"OK"</formula>
    </cfRule>
    <cfRule type="cellIs" dxfId="781" priority="182" stopIfTrue="1" operator="equal">
      <formula>"WARNING"</formula>
    </cfRule>
  </conditionalFormatting>
  <conditionalFormatting sqref="C236">
    <cfRule type="cellIs" dxfId="780" priority="58" stopIfTrue="1" operator="equal">
      <formula>"ERROR"</formula>
    </cfRule>
  </conditionalFormatting>
  <conditionalFormatting sqref="C236">
    <cfRule type="cellIs" dxfId="779" priority="59" stopIfTrue="1" operator="equal">
      <formula>"OK"</formula>
    </cfRule>
  </conditionalFormatting>
  <conditionalFormatting sqref="C236">
    <cfRule type="cellIs" dxfId="778" priority="60" stopIfTrue="1" operator="equal">
      <formula>"WARNING"</formula>
    </cfRule>
  </conditionalFormatting>
  <conditionalFormatting sqref="L241:O245">
    <cfRule type="cellIs" dxfId="777" priority="61" stopIfTrue="1" operator="equal">
      <formula>"ERROR"</formula>
    </cfRule>
  </conditionalFormatting>
  <conditionalFormatting sqref="L241:O245">
    <cfRule type="cellIs" dxfId="776" priority="62" stopIfTrue="1" operator="equal">
      <formula>"OK"</formula>
    </cfRule>
  </conditionalFormatting>
  <conditionalFormatting sqref="L241:O245">
    <cfRule type="cellIs" dxfId="775" priority="63" stopIfTrue="1" operator="equal">
      <formula>"WARNING"</formula>
    </cfRule>
  </conditionalFormatting>
  <conditionalFormatting sqref="C133">
    <cfRule type="cellIs" dxfId="774" priority="55" stopIfTrue="1" operator="equal">
      <formula>"ERROR"</formula>
    </cfRule>
  </conditionalFormatting>
  <conditionalFormatting sqref="C133">
    <cfRule type="cellIs" dxfId="773" priority="56" stopIfTrue="1" operator="equal">
      <formula>"OK"</formula>
    </cfRule>
  </conditionalFormatting>
  <conditionalFormatting sqref="C133">
    <cfRule type="cellIs" dxfId="772" priority="57" stopIfTrue="1" operator="equal">
      <formula>"WARNING"</formula>
    </cfRule>
  </conditionalFormatting>
  <conditionalFormatting sqref="L138:O172">
    <cfRule type="cellIs" dxfId="771" priority="183" stopIfTrue="1" operator="equal">
      <formula>"ERROR"</formula>
    </cfRule>
  </conditionalFormatting>
  <conditionalFormatting sqref="L138:O172">
    <cfRule type="cellIs" dxfId="770" priority="184" stopIfTrue="1" operator="equal">
      <formula>"OK"</formula>
    </cfRule>
  </conditionalFormatting>
  <conditionalFormatting sqref="L138:O172">
    <cfRule type="cellIs" dxfId="769" priority="185" stopIfTrue="1" operator="equal">
      <formula>"WARNING"</formula>
    </cfRule>
  </conditionalFormatting>
  <conditionalFormatting sqref="C205">
    <cfRule type="cellIs" dxfId="768" priority="52" stopIfTrue="1" operator="equal">
      <formula>"ERROR"</formula>
    </cfRule>
  </conditionalFormatting>
  <conditionalFormatting sqref="C205">
    <cfRule type="cellIs" dxfId="767" priority="53" stopIfTrue="1" operator="equal">
      <formula>"OK"</formula>
    </cfRule>
  </conditionalFormatting>
  <conditionalFormatting sqref="C205">
    <cfRule type="cellIs" dxfId="766" priority="54" stopIfTrue="1" operator="equal">
      <formula>"WARNING"</formula>
    </cfRule>
  </conditionalFormatting>
  <conditionalFormatting sqref="G210:G214">
    <cfRule type="cellIs" dxfId="765" priority="186" stopIfTrue="1" operator="equal">
      <formula>"ERROR"</formula>
    </cfRule>
  </conditionalFormatting>
  <conditionalFormatting sqref="G210:G214">
    <cfRule type="cellIs" dxfId="764" priority="187" stopIfTrue="1" operator="equal">
      <formula>"OK"</formula>
    </cfRule>
  </conditionalFormatting>
  <conditionalFormatting sqref="G210:G214">
    <cfRule type="cellIs" dxfId="763" priority="188" stopIfTrue="1" operator="equal">
      <formula>"WARNING"</formula>
    </cfRule>
  </conditionalFormatting>
  <conditionalFormatting sqref="N210:N214">
    <cfRule type="cellIs" dxfId="762" priority="49" stopIfTrue="1" operator="equal">
      <formula>"ERROR"</formula>
    </cfRule>
  </conditionalFormatting>
  <conditionalFormatting sqref="N210:N214">
    <cfRule type="cellIs" dxfId="761" priority="50" stopIfTrue="1" operator="equal">
      <formula>"OK"</formula>
    </cfRule>
  </conditionalFormatting>
  <conditionalFormatting sqref="N210:N214">
    <cfRule type="cellIs" dxfId="760" priority="51" stopIfTrue="1" operator="equal">
      <formula>"WARNING"</formula>
    </cfRule>
  </conditionalFormatting>
  <conditionalFormatting sqref="U210:U214">
    <cfRule type="cellIs" dxfId="759" priority="46" stopIfTrue="1" operator="equal">
      <formula>"ERROR"</formula>
    </cfRule>
  </conditionalFormatting>
  <conditionalFormatting sqref="U210:U214">
    <cfRule type="cellIs" dxfId="758" priority="47" stopIfTrue="1" operator="equal">
      <formula>"OK"</formula>
    </cfRule>
  </conditionalFormatting>
  <conditionalFormatting sqref="U210:U214">
    <cfRule type="cellIs" dxfId="757" priority="48" stopIfTrue="1" operator="equal">
      <formula>"WARNING"</formula>
    </cfRule>
  </conditionalFormatting>
  <conditionalFormatting sqref="AI210">
    <cfRule type="cellIs" dxfId="756" priority="43" stopIfTrue="1" operator="equal">
      <formula>"ERROR"</formula>
    </cfRule>
  </conditionalFormatting>
  <conditionalFormatting sqref="AI210">
    <cfRule type="cellIs" dxfId="755" priority="44" stopIfTrue="1" operator="equal">
      <formula>"OK"</formula>
    </cfRule>
  </conditionalFormatting>
  <conditionalFormatting sqref="AI210">
    <cfRule type="cellIs" dxfId="754" priority="45" stopIfTrue="1" operator="equal">
      <formula>"WARNING"</formula>
    </cfRule>
  </conditionalFormatting>
  <conditionalFormatting sqref="C250">
    <cfRule type="cellIs" dxfId="753" priority="40" stopIfTrue="1" operator="equal">
      <formula>"ERROR"</formula>
    </cfRule>
  </conditionalFormatting>
  <conditionalFormatting sqref="C250">
    <cfRule type="cellIs" dxfId="752" priority="41" stopIfTrue="1" operator="equal">
      <formula>"OK"</formula>
    </cfRule>
  </conditionalFormatting>
  <conditionalFormatting sqref="C250">
    <cfRule type="cellIs" dxfId="751" priority="42" stopIfTrue="1" operator="equal">
      <formula>"WARNING"</formula>
    </cfRule>
  </conditionalFormatting>
  <conditionalFormatting sqref="E255:E261">
    <cfRule type="cellIs" dxfId="750" priority="189" stopIfTrue="1" operator="equal">
      <formula>"ERROR"</formula>
    </cfRule>
  </conditionalFormatting>
  <conditionalFormatting sqref="E255:E261">
    <cfRule type="cellIs" dxfId="749" priority="190" stopIfTrue="1" operator="equal">
      <formula>"OK"</formula>
    </cfRule>
  </conditionalFormatting>
  <conditionalFormatting sqref="E255:E261">
    <cfRule type="cellIs" dxfId="748" priority="191" stopIfTrue="1" operator="equal">
      <formula>"WARNING"</formula>
    </cfRule>
  </conditionalFormatting>
  <conditionalFormatting sqref="D20">
    <cfRule type="cellIs" dxfId="747" priority="37" stopIfTrue="1" operator="equal">
      <formula>"ERROR"</formula>
    </cfRule>
    <cfRule type="cellIs" dxfId="746" priority="38" stopIfTrue="1" operator="equal">
      <formula>"OK"</formula>
    </cfRule>
    <cfRule type="cellIs" dxfId="745" priority="39" stopIfTrue="1" operator="equal">
      <formula>"WARNING"</formula>
    </cfRule>
  </conditionalFormatting>
  <conditionalFormatting sqref="C62">
    <cfRule type="cellIs" dxfId="744" priority="34" stopIfTrue="1" operator="equal">
      <formula>"ERROR"</formula>
    </cfRule>
  </conditionalFormatting>
  <conditionalFormatting sqref="C62">
    <cfRule type="cellIs" dxfId="743" priority="35" stopIfTrue="1" operator="equal">
      <formula>"OK"</formula>
    </cfRule>
  </conditionalFormatting>
  <conditionalFormatting sqref="C62">
    <cfRule type="cellIs" dxfId="742" priority="36" stopIfTrue="1" operator="equal">
      <formula>"WARNING"</formula>
    </cfRule>
  </conditionalFormatting>
  <conditionalFormatting sqref="G67">
    <cfRule type="cellIs" dxfId="741" priority="31" stopIfTrue="1" operator="equal">
      <formula>"ERROR"</formula>
    </cfRule>
    <cfRule type="cellIs" dxfId="740" priority="32" stopIfTrue="1" operator="equal">
      <formula>"OK"</formula>
    </cfRule>
    <cfRule type="cellIs" dxfId="739" priority="33" stopIfTrue="1" operator="equal">
      <formula>"WARNING"</formula>
    </cfRule>
  </conditionalFormatting>
  <conditionalFormatting sqref="C38">
    <cfRule type="cellIs" dxfId="738" priority="28" stopIfTrue="1" operator="equal">
      <formula>"ERROR"</formula>
    </cfRule>
  </conditionalFormatting>
  <conditionalFormatting sqref="C38">
    <cfRule type="cellIs" dxfId="737" priority="29" stopIfTrue="1" operator="equal">
      <formula>"OK"</formula>
    </cfRule>
  </conditionalFormatting>
  <conditionalFormatting sqref="C38">
    <cfRule type="cellIs" dxfId="736" priority="30" stopIfTrue="1" operator="equal">
      <formula>"WARNING"</formula>
    </cfRule>
  </conditionalFormatting>
  <conditionalFormatting sqref="G43">
    <cfRule type="cellIs" dxfId="735" priority="25" stopIfTrue="1" operator="equal">
      <formula>"ERROR"</formula>
    </cfRule>
    <cfRule type="cellIs" dxfId="734" priority="26" stopIfTrue="1" operator="equal">
      <formula>"OK"</formula>
    </cfRule>
    <cfRule type="cellIs" dxfId="733" priority="27" stopIfTrue="1" operator="equal">
      <formula>"WARNING"</formula>
    </cfRule>
  </conditionalFormatting>
  <conditionalFormatting sqref="D8:D10">
    <cfRule type="cellIs" dxfId="732" priority="22" stopIfTrue="1" operator="equal">
      <formula>"ERROR"</formula>
    </cfRule>
    <cfRule type="cellIs" dxfId="731" priority="23" stopIfTrue="1" operator="equal">
      <formula>"OK"</formula>
    </cfRule>
    <cfRule type="cellIs" dxfId="730" priority="24" stopIfTrue="1" operator="equal">
      <formula>"WARNING"</formula>
    </cfRule>
  </conditionalFormatting>
  <conditionalFormatting sqref="C50">
    <cfRule type="cellIs" dxfId="729" priority="19" stopIfTrue="1" operator="equal">
      <formula>"ERROR"</formula>
    </cfRule>
  </conditionalFormatting>
  <conditionalFormatting sqref="C50">
    <cfRule type="cellIs" dxfId="728" priority="20" stopIfTrue="1" operator="equal">
      <formula>"OK"</formula>
    </cfRule>
  </conditionalFormatting>
  <conditionalFormatting sqref="C50">
    <cfRule type="cellIs" dxfId="727" priority="21" stopIfTrue="1" operator="equal">
      <formula>"WARNING"</formula>
    </cfRule>
  </conditionalFormatting>
  <conditionalFormatting sqref="G55">
    <cfRule type="cellIs" dxfId="726" priority="16" stopIfTrue="1" operator="equal">
      <formula>"ERROR"</formula>
    </cfRule>
    <cfRule type="cellIs" dxfId="725" priority="17" stopIfTrue="1" operator="equal">
      <formula>"OK"</formula>
    </cfRule>
    <cfRule type="cellIs" dxfId="724" priority="18" stopIfTrue="1" operator="equal">
      <formula>"WARNING"</formula>
    </cfRule>
  </conditionalFormatting>
  <conditionalFormatting sqref="N79">
    <cfRule type="cellIs" dxfId="723" priority="13" stopIfTrue="1" operator="equal">
      <formula>"ERROR"</formula>
    </cfRule>
    <cfRule type="cellIs" dxfId="722" priority="14" stopIfTrue="1" operator="equal">
      <formula>"OK"</formula>
    </cfRule>
    <cfRule type="cellIs" dxfId="721" priority="15" stopIfTrue="1" operator="equal">
      <formula>"WARNING"</formula>
    </cfRule>
  </conditionalFormatting>
  <conditionalFormatting sqref="C26">
    <cfRule type="cellIs" dxfId="720" priority="10" stopIfTrue="1" operator="equal">
      <formula>"ERROR"</formula>
    </cfRule>
  </conditionalFormatting>
  <conditionalFormatting sqref="C26">
    <cfRule type="cellIs" dxfId="719" priority="11" stopIfTrue="1" operator="equal">
      <formula>"OK"</formula>
    </cfRule>
  </conditionalFormatting>
  <conditionalFormatting sqref="C26">
    <cfRule type="cellIs" dxfId="718" priority="12" stopIfTrue="1" operator="equal">
      <formula>"WARNING"</formula>
    </cfRule>
  </conditionalFormatting>
  <conditionalFormatting sqref="G31">
    <cfRule type="cellIs" dxfId="717" priority="7" stopIfTrue="1" operator="equal">
      <formula>"ERROR"</formula>
    </cfRule>
    <cfRule type="cellIs" dxfId="716" priority="8" stopIfTrue="1" operator="equal">
      <formula>"OK"</formula>
    </cfRule>
    <cfRule type="cellIs" dxfId="715" priority="9" stopIfTrue="1" operator="equal">
      <formula>"WARNING"</formula>
    </cfRule>
  </conditionalFormatting>
  <conditionalFormatting sqref="D7">
    <cfRule type="cellIs" dxfId="714" priority="1" stopIfTrue="1" operator="equal">
      <formula>"ERROR"</formula>
    </cfRule>
    <cfRule type="cellIs" dxfId="713" priority="2" stopIfTrue="1" operator="equal">
      <formula>"OK"</formula>
    </cfRule>
    <cfRule type="cellIs" dxfId="712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389</v>
      </c>
    </row>
    <row r="2" spans="1:87" ht="26.25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aca="1" ref="C4" ca="1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341</v>
      </c>
      <c r="C7" s="202"/>
      <c r="D7" s="300" t="str">
        <f ca="1"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569</v>
      </c>
      <c r="C8" s="202"/>
      <c r="D8" s="300" t="str">
        <f ca="1"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357</v>
      </c>
      <c r="C9" s="202"/>
      <c r="D9" s="300" t="str">
        <f ca="1"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aca="1" ref="C14" ca="1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343</v>
      </c>
      <c r="C19" s="323" t="s">
        <v>344</v>
      </c>
      <c r="D19" s="120" t="s">
        <v>345</v>
      </c>
      <c r="F19" s="325" cm="1">
        <f t="array" aca="1" ref="F19" ca="1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aca="1" ref="H19" ca="1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aca="1" ref="N19" ca="1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aca="1" ref="P19" ca="1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aca="1" ref="W19" ca="1">_xll.d.Math_Interpolate(R20:R21,T20:T21,U20,"exponential")-EXP(_xll.d.Math_Interpolate(R20:R21,S20:S21,U20,"linear"))</f>
        <v>0</v>
      </c>
      <c r="X19" s="326">
        <v>0</v>
      </c>
      <c r="Y19" s="310" t="str" cm="1">
        <f t="array" aca="1" ref="Y19" ca="1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aca="1" ref="AE19" ca="1">_xll.d.Math_Interpolate(AA20:AA21,AB20:AB21,AC20,"flat")</f>
        <v>0.05</v>
      </c>
      <c r="AF19" s="326">
        <f>IF(AC20&lt;AA21,AB20,AB21)</f>
        <v>0.05</v>
      </c>
      <c r="AG19" s="310" t="str" cm="1">
        <f t="array" aca="1" ref="AG19" ca="1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aca="1" ref="AM19" ca="1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aca="1" ref="AU19" ca="1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aca="1" ref="BA19" ca="1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aca="1" ref="BI19" ca="1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aca="1" ref="BO19" ca="1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aca="1" ref="BW19" ca="1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aca="1" ref="CC19" ca="1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aca="1" ref="CI19" ca="1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aca="1" ref="C26" ca="1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aca="1" ref="H31" ca="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aca="1" ref="J31" ca="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aca="1" ref="R31" ca="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aca="1" ref="X31" ca="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aca="1" ref="AF31" ca="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aca="1" ref="AL31" ca="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aca="1" ref="C38" ca="1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aca="1" ref="J43" ca="1">_xll.d.Math_Interpolate2D(B44:F49,G45,H45,"linear")</f>
        <v>9.5</v>
      </c>
      <c r="K43" s="326">
        <v>9.5</v>
      </c>
      <c r="L43" s="310" t="str" cm="1">
        <f t="array" aca="1" ref="L43" ca="1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aca="1" ref="W43" ca="1">_xll.d.Math_Interpolate2D(N44:R49,S45,T45,"exponential")</f>
        <v>9.2723643716594051</v>
      </c>
      <c r="X43" s="326">
        <v>9.272364616394043</v>
      </c>
      <c r="Y43" s="310" t="str" cm="1">
        <f t="array" aca="1" ref="Y43" ca="1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aca="1" ref="AI43" ca="1">_xll.d.Math_Interpolate2D(AA44:AE49,AF45,AG45,"flat")</f>
        <v>7</v>
      </c>
      <c r="AJ43" s="326">
        <v>7</v>
      </c>
      <c r="AK43" s="310" t="str" cm="1">
        <f t="array" aca="1" ref="AK43" ca="1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aca="1" ref="AU43" ca="1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aca="1" ref="BC43" ca="1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aca="1" ref="BM43" ca="1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aca="1" ref="BU43" ca="1">_xll.d.TestUtils_Equal(BM43,BQ43)</f>
        <v>Ok</v>
      </c>
    </row>
    <row r="44" spans="1:82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11" priority="145" stopIfTrue="1" operator="equal">
      <formula>"ERROR"</formula>
    </cfRule>
    <cfRule type="cellIs" dxfId="710" priority="146" stopIfTrue="1" operator="equal">
      <formula>"OK"</formula>
    </cfRule>
    <cfRule type="cellIs" dxfId="709" priority="147" stopIfTrue="1" operator="equal">
      <formula>"WARNING"</formula>
    </cfRule>
  </conditionalFormatting>
  <conditionalFormatting sqref="C4">
    <cfRule type="cellIs" dxfId="708" priority="142" stopIfTrue="1" operator="equal">
      <formula>"ERROR"</formula>
    </cfRule>
    <cfRule type="cellIs" dxfId="707" priority="143" stopIfTrue="1" operator="equal">
      <formula>"OK"</formula>
    </cfRule>
    <cfRule type="cellIs" dxfId="706" priority="144" stopIfTrue="1" operator="equal">
      <formula>"WARNING"</formula>
    </cfRule>
  </conditionalFormatting>
  <conditionalFormatting sqref="C14">
    <cfRule type="cellIs" dxfId="705" priority="139" stopIfTrue="1" operator="equal">
      <formula>"ERROR"</formula>
    </cfRule>
  </conditionalFormatting>
  <conditionalFormatting sqref="C14">
    <cfRule type="cellIs" dxfId="704" priority="140" stopIfTrue="1" operator="equal">
      <formula>"OK"</formula>
    </cfRule>
  </conditionalFormatting>
  <conditionalFormatting sqref="C14">
    <cfRule type="cellIs" dxfId="703" priority="141" stopIfTrue="1" operator="equal">
      <formula>"WARNING"</formula>
    </cfRule>
  </conditionalFormatting>
  <conditionalFormatting sqref="H19">
    <cfRule type="cellIs" dxfId="702" priority="148" stopIfTrue="1" operator="equal">
      <formula>"ERROR"</formula>
    </cfRule>
    <cfRule type="cellIs" dxfId="701" priority="149" stopIfTrue="1" operator="equal">
      <formula>"OK"</formula>
    </cfRule>
    <cfRule type="cellIs" dxfId="700" priority="150" stopIfTrue="1" operator="equal">
      <formula>"WARNING"</formula>
    </cfRule>
  </conditionalFormatting>
  <conditionalFormatting sqref="C38">
    <cfRule type="cellIs" dxfId="699" priority="118" stopIfTrue="1" operator="equal">
      <formula>"ERROR"</formula>
    </cfRule>
  </conditionalFormatting>
  <conditionalFormatting sqref="C38">
    <cfRule type="cellIs" dxfId="698" priority="119" stopIfTrue="1" operator="equal">
      <formula>"OK"</formula>
    </cfRule>
  </conditionalFormatting>
  <conditionalFormatting sqref="C38">
    <cfRule type="cellIs" dxfId="697" priority="120" stopIfTrue="1" operator="equal">
      <formula>"WARNING"</formula>
    </cfRule>
  </conditionalFormatting>
  <conditionalFormatting sqref="P19">
    <cfRule type="cellIs" dxfId="696" priority="49" stopIfTrue="1" operator="equal">
      <formula>"ERROR"</formula>
    </cfRule>
    <cfRule type="cellIs" dxfId="695" priority="50" stopIfTrue="1" operator="equal">
      <formula>"OK"</formula>
    </cfRule>
    <cfRule type="cellIs" dxfId="694" priority="51" stopIfTrue="1" operator="equal">
      <formula>"WARNING"</formula>
    </cfRule>
  </conditionalFormatting>
  <conditionalFormatting sqref="Y19">
    <cfRule type="cellIs" dxfId="693" priority="46" stopIfTrue="1" operator="equal">
      <formula>"ERROR"</formula>
    </cfRule>
    <cfRule type="cellIs" dxfId="692" priority="47" stopIfTrue="1" operator="equal">
      <formula>"OK"</formula>
    </cfRule>
    <cfRule type="cellIs" dxfId="691" priority="48" stopIfTrue="1" operator="equal">
      <formula>"WARNING"</formula>
    </cfRule>
  </conditionalFormatting>
  <conditionalFormatting sqref="AG19">
    <cfRule type="cellIs" dxfId="690" priority="43" stopIfTrue="1" operator="equal">
      <formula>"ERROR"</formula>
    </cfRule>
    <cfRule type="cellIs" dxfId="689" priority="44" stopIfTrue="1" operator="equal">
      <formula>"OK"</formula>
    </cfRule>
    <cfRule type="cellIs" dxfId="688" priority="45" stopIfTrue="1" operator="equal">
      <formula>"WARNING"</formula>
    </cfRule>
  </conditionalFormatting>
  <conditionalFormatting sqref="AU19">
    <cfRule type="cellIs" dxfId="687" priority="40" stopIfTrue="1" operator="equal">
      <formula>"ERROR"</formula>
    </cfRule>
    <cfRule type="cellIs" dxfId="686" priority="41" stopIfTrue="1" operator="equal">
      <formula>"OK"</formula>
    </cfRule>
    <cfRule type="cellIs" dxfId="685" priority="42" stopIfTrue="1" operator="equal">
      <formula>"WARNING"</formula>
    </cfRule>
  </conditionalFormatting>
  <conditionalFormatting sqref="BI19">
    <cfRule type="cellIs" dxfId="684" priority="37" stopIfTrue="1" operator="equal">
      <formula>"ERROR"</formula>
    </cfRule>
    <cfRule type="cellIs" dxfId="683" priority="38" stopIfTrue="1" operator="equal">
      <formula>"OK"</formula>
    </cfRule>
    <cfRule type="cellIs" dxfId="682" priority="39" stopIfTrue="1" operator="equal">
      <formula>"WARNING"</formula>
    </cfRule>
  </conditionalFormatting>
  <conditionalFormatting sqref="CI19">
    <cfRule type="cellIs" dxfId="681" priority="34" stopIfTrue="1" operator="equal">
      <formula>"ERROR"</formula>
    </cfRule>
    <cfRule type="cellIs" dxfId="680" priority="35" stopIfTrue="1" operator="equal">
      <formula>"OK"</formula>
    </cfRule>
    <cfRule type="cellIs" dxfId="679" priority="36" stopIfTrue="1" operator="equal">
      <formula>"WARNING"</formula>
    </cfRule>
  </conditionalFormatting>
  <conditionalFormatting sqref="L43">
    <cfRule type="cellIs" dxfId="678" priority="28" stopIfTrue="1" operator="equal">
      <formula>"ERROR"</formula>
    </cfRule>
    <cfRule type="cellIs" dxfId="677" priority="29" stopIfTrue="1" operator="equal">
      <formula>"OK"</formula>
    </cfRule>
    <cfRule type="cellIs" dxfId="676" priority="30" stopIfTrue="1" operator="equal">
      <formula>"WARNING"</formula>
    </cfRule>
  </conditionalFormatting>
  <conditionalFormatting sqref="Y43">
    <cfRule type="cellIs" dxfId="675" priority="25" stopIfTrue="1" operator="equal">
      <formula>"ERROR"</formula>
    </cfRule>
    <cfRule type="cellIs" dxfId="674" priority="26" stopIfTrue="1" operator="equal">
      <formula>"OK"</formula>
    </cfRule>
    <cfRule type="cellIs" dxfId="673" priority="27" stopIfTrue="1" operator="equal">
      <formula>"WARNING"</formula>
    </cfRule>
  </conditionalFormatting>
  <conditionalFormatting sqref="AK43">
    <cfRule type="cellIs" dxfId="672" priority="22" stopIfTrue="1" operator="equal">
      <formula>"ERROR"</formula>
    </cfRule>
    <cfRule type="cellIs" dxfId="671" priority="23" stopIfTrue="1" operator="equal">
      <formula>"OK"</formula>
    </cfRule>
    <cfRule type="cellIs" dxfId="670" priority="24" stopIfTrue="1" operator="equal">
      <formula>"WARNING"</formula>
    </cfRule>
  </conditionalFormatting>
  <conditionalFormatting sqref="BC43">
    <cfRule type="cellIs" dxfId="669" priority="19" stopIfTrue="1" operator="equal">
      <formula>"ERROR"</formula>
    </cfRule>
    <cfRule type="cellIs" dxfId="668" priority="20" stopIfTrue="1" operator="equal">
      <formula>"OK"</formula>
    </cfRule>
    <cfRule type="cellIs" dxfId="667" priority="21" stopIfTrue="1" operator="equal">
      <formula>"WARNING"</formula>
    </cfRule>
  </conditionalFormatting>
  <conditionalFormatting sqref="BU43">
    <cfRule type="cellIs" dxfId="666" priority="16" stopIfTrue="1" operator="equal">
      <formula>"ERROR"</formula>
    </cfRule>
    <cfRule type="cellIs" dxfId="665" priority="17" stopIfTrue="1" operator="equal">
      <formula>"OK"</formula>
    </cfRule>
    <cfRule type="cellIs" dxfId="664" priority="18" stopIfTrue="1" operator="equal">
      <formula>"WARNING"</formula>
    </cfRule>
  </conditionalFormatting>
  <conditionalFormatting sqref="BW19">
    <cfRule type="cellIs" dxfId="663" priority="13" stopIfTrue="1" operator="equal">
      <formula>"ERROR"</formula>
    </cfRule>
    <cfRule type="cellIs" dxfId="662" priority="14" stopIfTrue="1" operator="equal">
      <formula>"OK"</formula>
    </cfRule>
    <cfRule type="cellIs" dxfId="661" priority="15" stopIfTrue="1" operator="equal">
      <formula>"WARNING"</formula>
    </cfRule>
  </conditionalFormatting>
  <conditionalFormatting sqref="C26">
    <cfRule type="cellIs" dxfId="660" priority="7" stopIfTrue="1" operator="equal">
      <formula>"ERROR"</formula>
    </cfRule>
  </conditionalFormatting>
  <conditionalFormatting sqref="C26">
    <cfRule type="cellIs" dxfId="659" priority="8" stopIfTrue="1" operator="equal">
      <formula>"OK"</formula>
    </cfRule>
  </conditionalFormatting>
  <conditionalFormatting sqref="C26">
    <cfRule type="cellIs" dxfId="658" priority="9" stopIfTrue="1" operator="equal">
      <formula>"WARNING"</formula>
    </cfRule>
  </conditionalFormatting>
  <conditionalFormatting sqref="J31">
    <cfRule type="cellIs" dxfId="657" priority="10" stopIfTrue="1" operator="equal">
      <formula>"ERROR"</formula>
    </cfRule>
    <cfRule type="cellIs" dxfId="656" priority="11" stopIfTrue="1" operator="equal">
      <formula>"OK"</formula>
    </cfRule>
    <cfRule type="cellIs" dxfId="655" priority="12" stopIfTrue="1" operator="equal">
      <formula>"WARNING"</formula>
    </cfRule>
  </conditionalFormatting>
  <conditionalFormatting sqref="X31">
    <cfRule type="cellIs" dxfId="654" priority="4" stopIfTrue="1" operator="equal">
      <formula>"ERROR"</formula>
    </cfRule>
    <cfRule type="cellIs" dxfId="653" priority="5" stopIfTrue="1" operator="equal">
      <formula>"OK"</formula>
    </cfRule>
    <cfRule type="cellIs" dxfId="652" priority="6" stopIfTrue="1" operator="equal">
      <formula>"WARNING"</formula>
    </cfRule>
  </conditionalFormatting>
  <conditionalFormatting sqref="AL31">
    <cfRule type="cellIs" dxfId="651" priority="1" stopIfTrue="1" operator="equal">
      <formula>"ERROR"</formula>
    </cfRule>
    <cfRule type="cellIs" dxfId="650" priority="2" stopIfTrue="1" operator="equal">
      <formula>"OK"</formula>
    </cfRule>
    <cfRule type="cellIs" dxfId="649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389</v>
      </c>
    </row>
    <row r="2" spans="1:52" ht="26.25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364</v>
      </c>
      <c r="C7" s="202"/>
      <c r="D7" s="202"/>
      <c r="E7" s="300" t="str">
        <f ca="1"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365</v>
      </c>
      <c r="C8" s="202"/>
      <c r="D8" s="202"/>
      <c r="E8" s="300" t="str">
        <f ca="1"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489</v>
      </c>
      <c r="C10" s="202"/>
      <c r="D10" s="202"/>
      <c r="E10" s="300" t="str">
        <f ca="1">C95</f>
        <v>Ok</v>
      </c>
    </row>
    <row r="11" spans="1:52" s="439" customFormat="1"/>
    <row r="13" spans="1:52" s="298" customFormat="1" ht="18.75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aca="1" ref="C15" ca="1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368</v>
      </c>
      <c r="C20" s="362"/>
      <c r="D20" s="363"/>
      <c r="F20" s="360">
        <f t="array" aca="1" ref="F20:H22" ca="1">_xll.d.Stats_Cholesky(B21:D23)</f>
        <v>1</v>
      </c>
      <c r="G20" s="280">
        <f ca="1"/>
        <v>0.75</v>
      </c>
      <c r="H20" s="281">
        <f ca="1"/>
        <v>0.5</v>
      </c>
      <c r="I20" s="360">
        <v>1</v>
      </c>
      <c r="J20" s="280">
        <v>0.75</v>
      </c>
      <c r="K20" s="281">
        <v>0.5</v>
      </c>
      <c r="L20" s="310" t="str" cm="1">
        <f t="array" aca="1" ref="L20" ca="1">_xll.d.TestUtils_Equal(F20,I20)</f>
        <v>Ok</v>
      </c>
      <c r="M20" s="310" t="str" cm="1">
        <f t="array" aca="1" ref="M20" ca="1">_xll.d.TestUtils_Equal(G20,J20)</f>
        <v>Ok</v>
      </c>
      <c r="N20" s="310" t="str" cm="1">
        <f t="array" aca="1" ref="N20" ca="1">_xll.d.TestUtils_Equal(H20,K20)</f>
        <v>Ok</v>
      </c>
      <c r="P20" s="361" t="s">
        <v>368</v>
      </c>
      <c r="Q20" s="362"/>
      <c r="R20" s="363"/>
      <c r="T20" s="545" t="str" cm="1">
        <f t="array" aca="1" ref="T20" ca="1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aca="1" ref="Z20" ca="1">_xll.d.TestUtils_Equal(T20,W20)</f>
        <v>Ok</v>
      </c>
      <c r="AB20" s="361" t="s">
        <v>368</v>
      </c>
      <c r="AC20" s="362"/>
      <c r="AD20" s="363"/>
      <c r="AF20" s="548" t="str" cm="1">
        <f t="array" aca="1" ref="AF20" ca="1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aca="1" ref="AL20" ca="1">_xll.d.TestUtils_Equal(AF20,AI20)</f>
        <v>Ok</v>
      </c>
      <c r="AN20" s="361" t="s">
        <v>368</v>
      </c>
      <c r="AO20" s="362"/>
      <c r="AP20" s="363"/>
      <c r="AR20" s="548" t="str" cm="1">
        <f t="array" aca="1" ref="AR20" ca="1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aca="1" ref="AZ20" ca="1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f ca="1"/>
        <v>0</v>
      </c>
      <c r="G21" s="368">
        <f ca="1"/>
        <v>0.66143782776614768</v>
      </c>
      <c r="H21" s="369">
        <f ca="1"/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aca="1" ref="L21" ca="1">_xll.d.TestUtils_Equal(F21,I21)</f>
        <v>Ok</v>
      </c>
      <c r="M21" s="310" t="str" cm="1">
        <f t="array" aca="1" ref="M21" ca="1">_xll.d.TestUtils_Equal(G21,J21)</f>
        <v>Ok</v>
      </c>
      <c r="N21" s="310" t="str" cm="1">
        <f t="array" aca="1" ref="N21" ca="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f ca="1"/>
        <v>0</v>
      </c>
      <c r="G22" s="365">
        <f ca="1"/>
        <v>0</v>
      </c>
      <c r="H22" s="366">
        <f ca="1"/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aca="1" ref="L22" ca="1">_xll.d.TestUtils_Equal(F22,I22)</f>
        <v>Ok</v>
      </c>
      <c r="M22" s="310" t="str" cm="1">
        <f t="array" aca="1" ref="M22" ca="1">_xll.d.TestUtils_Equal(G22,J22)</f>
        <v>Ok</v>
      </c>
      <c r="N22" s="310" t="str" cm="1">
        <f t="array" aca="1" ref="N22" ca="1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aca="1" ref="C28" ca="1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>
      <c r="B34" s="372">
        <v>1</v>
      </c>
      <c r="C34" s="373">
        <v>0.5</v>
      </c>
      <c r="D34" s="298"/>
      <c r="E34" s="384" t="s">
        <v>353</v>
      </c>
      <c r="F34" s="379" cm="1">
        <f t="array" aca="1" ref="F34:G35" ca="1">_xll.d.Stats_CorrelationMatrix(B34:C39)</f>
        <v>1</v>
      </c>
      <c r="G34" s="378">
        <f ca="1"/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aca="1" ref="L34" ca="1">_xll.d.TestUtils_Equal(F34,I34)</f>
        <v>Ok</v>
      </c>
      <c r="M34" s="310" t="str" cm="1">
        <f t="array" aca="1" ref="M34" ca="1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aca="1" ref="T34:V36" ca="1">_xll.d.Stats_CorrelationMatrix(O34:Q39)</f>
        <v>1</v>
      </c>
      <c r="U34" s="398">
        <f ca="1"/>
        <v>0.9855793842654561</v>
      </c>
      <c r="V34" s="397">
        <f ca="1"/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aca="1" ref="AB34" ca="1">_xll.d.TestUtils_Equal(T34,X34)</f>
        <v>Ok</v>
      </c>
      <c r="AC34" s="310" t="str" cm="1">
        <f t="array" aca="1" ref="AC34" ca="1">_xll.d.TestUtils_Equal(U34,Y34)</f>
        <v>Ok</v>
      </c>
      <c r="AD34" s="310" t="str" cm="1">
        <f t="array" aca="1" ref="AD34" ca="1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352</v>
      </c>
      <c r="F35" s="380">
        <f ca="1"/>
        <v>0.9855793842654561</v>
      </c>
      <c r="G35" s="366">
        <f ca="1"/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aca="1" ref="L35" ca="1">_xll.d.TestUtils_Equal(F35,I35)</f>
        <v>Ok</v>
      </c>
      <c r="M35" s="310" t="str" cm="1">
        <f t="array" aca="1" ref="M35" ca="1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f ca="1"/>
        <v>0.9855793842654561</v>
      </c>
      <c r="U35" s="401">
        <f ca="1"/>
        <v>1</v>
      </c>
      <c r="V35" s="402">
        <f ca="1"/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aca="1" ref="AB35" ca="1">_xll.d.TestUtils_Equal(T35,X35)</f>
        <v>Ok</v>
      </c>
      <c r="AC35" s="310" t="str" cm="1">
        <f t="array" aca="1" ref="AC35" ca="1">_xll.d.TestUtils_Equal(U35,Y35)</f>
        <v>Ok</v>
      </c>
      <c r="AD35" s="310" t="str" cm="1">
        <f t="array" aca="1" ref="AD35" ca="1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f ca="1"/>
        <v>-0.96679334300694564</v>
      </c>
      <c r="U36" s="400">
        <f ca="1"/>
        <v>-0.9461544177169412</v>
      </c>
      <c r="V36" s="395">
        <f ca="1"/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aca="1" ref="AB36" ca="1">_xll.d.TestUtils_Equal(T36,X36)</f>
        <v>Ok</v>
      </c>
      <c r="AC36" s="310" t="str" cm="1">
        <f t="array" aca="1" ref="AC36" ca="1">_xll.d.TestUtils_Equal(U36,Y36)</f>
        <v>Ok</v>
      </c>
      <c r="AD36" s="310" t="str" cm="1">
        <f t="array" aca="1" ref="AD36" ca="1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485</v>
      </c>
      <c r="V48" s="481" t="s">
        <v>486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aca="1" ref="C95" ca="1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375</v>
      </c>
      <c r="C100" s="439"/>
      <c r="D100" s="439"/>
      <c r="E100" s="123" cm="1">
        <f t="array" aca="1" ref="E100:F1099" ca="1">_xll.d.Stats_CorrelatedNormalRandomNumbers(B101,1000,B104:C105)</f>
        <v>-0.63711590014289476</v>
      </c>
      <c r="F100" s="124">
        <f ca="1"/>
        <v>0.84456194899566184</v>
      </c>
      <c r="H100" s="405">
        <v>0.02</v>
      </c>
      <c r="I100" s="444">
        <f ca="1">CORREL(E100:E1099,F100:F1099)</f>
        <v>0.48560602595764718</v>
      </c>
      <c r="J100" s="310" t="str" cm="1">
        <f t="array" aca="1" ref="J100" ca="1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aca="1" ref="R100" ca="1">_xll.d.Stats_CorrelatedNormalRandomNumbers(L101,10000,L104:N105)</f>
        <v>#∂Excel Error: Matrix is not square.</v>
      </c>
      <c r="S100" s="531"/>
      <c r="T100" s="550"/>
      <c r="U100" s="310" t="str" cm="1">
        <f t="array" aca="1" ref="U100" ca="1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aca="1" ref="AE100" ca="1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aca="1" ref="AJ100" ca="1">_xll.d.TestUtils_Equal(Z100,AE100)</f>
        <v>Ok</v>
      </c>
    </row>
    <row r="101" spans="2:36">
      <c r="B101" s="406">
        <v>1337</v>
      </c>
      <c r="C101" s="439"/>
      <c r="D101" s="439"/>
      <c r="E101" s="125">
        <f ca="1"/>
        <v>0.15231246463563991</v>
      </c>
      <c r="F101" s="126">
        <f ca="1"/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f ca="1"/>
        <v>-0.9998813019474484</v>
      </c>
      <c r="F102" s="126">
        <f ca="1"/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490</v>
      </c>
      <c r="C103" s="563"/>
      <c r="D103" s="439"/>
      <c r="E103" s="125">
        <f ca="1"/>
        <v>-0.79747485963926357</v>
      </c>
      <c r="F103" s="126">
        <f ca="1"/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f ca="1"/>
        <v>-0.5884160994078016</v>
      </c>
      <c r="F104" s="126">
        <f ca="1"/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f ca="1"/>
        <v>0.10819798524690837</v>
      </c>
      <c r="F105" s="126">
        <f ca="1"/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f ca="1"/>
        <v>-0.10215483425175563</v>
      </c>
      <c r="F106" s="126">
        <f ca="1"/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f ca="1"/>
        <v>-1.8253861328037648</v>
      </c>
      <c r="F107" s="126">
        <f ca="1"/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f ca="1"/>
        <v>-0.46490277119672319</v>
      </c>
      <c r="F108" s="126">
        <f ca="1"/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f ca="1"/>
        <v>-0.72121450340504112</v>
      </c>
      <c r="F109" s="126">
        <f ca="1"/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f ca="1"/>
        <v>4.6120309846438508E-2</v>
      </c>
      <c r="F110" s="126">
        <f ca="1"/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f ca="1"/>
        <v>0.23298387080043784</v>
      </c>
      <c r="F111" s="126">
        <f ca="1"/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f ca="1"/>
        <v>-0.63736695093064755</v>
      </c>
      <c r="F112" s="126">
        <f ca="1"/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f ca="1"/>
        <v>-0.42607435867377447</v>
      </c>
      <c r="F113" s="126">
        <f ca="1"/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f ca="1"/>
        <v>1.9788808392213517</v>
      </c>
      <c r="F114" s="126">
        <f ca="1"/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f ca="1"/>
        <v>-0.61135617247427165</v>
      </c>
      <c r="F115" s="126">
        <f ca="1"/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f ca="1"/>
        <v>0.62134768002507634</v>
      </c>
      <c r="F116" s="126">
        <f ca="1"/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f ca="1"/>
        <v>-0.50308335820540317</v>
      </c>
      <c r="F117" s="126">
        <f ca="1"/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f ca="1"/>
        <v>-1.198947290104817</v>
      </c>
      <c r="F118" s="126">
        <f ca="1"/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f ca="1"/>
        <v>0.85011456561901899</v>
      </c>
      <c r="F119" s="126">
        <f ca="1"/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f ca="1"/>
        <v>-0.28904080804777654</v>
      </c>
      <c r="F120" s="126">
        <f ca="1"/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f ca="1"/>
        <v>-1.3097052116291188</v>
      </c>
      <c r="F121" s="126">
        <f ca="1"/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f ca="1"/>
        <v>0.32788629545256831</v>
      </c>
      <c r="F122" s="126">
        <f ca="1"/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f ca="1"/>
        <v>-0.35007770185857218</v>
      </c>
      <c r="F123" s="126">
        <f ca="1"/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f ca="1"/>
        <v>-1.1500680545803554</v>
      </c>
      <c r="F124" s="126">
        <f ca="1"/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f ca="1"/>
        <v>0.64691193539250558</v>
      </c>
      <c r="F125" s="126">
        <f ca="1"/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f ca="1"/>
        <v>2.1332675037689501</v>
      </c>
      <c r="F126" s="126">
        <f ca="1"/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f ca="1"/>
        <v>-0.99466901445455624</v>
      </c>
      <c r="F127" s="126">
        <f ca="1"/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f ca="1"/>
        <v>-0.14279798956905393</v>
      </c>
      <c r="F128" s="126">
        <f ca="1"/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f ca="1"/>
        <v>1.092291704880513</v>
      </c>
      <c r="F129" s="126">
        <f ca="1"/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f ca="1"/>
        <v>0.80488972711453355</v>
      </c>
      <c r="F130" s="126">
        <f ca="1"/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f ca="1"/>
        <v>0.80605770412109401</v>
      </c>
      <c r="F131" s="126">
        <f ca="1"/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f ca="1"/>
        <v>0.82079536005409337</v>
      </c>
      <c r="F132" s="126">
        <f ca="1"/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f ca="1"/>
        <v>-2.5528312879719279</v>
      </c>
      <c r="F133" s="126">
        <f ca="1"/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f ca="1"/>
        <v>-0.35508869593067621</v>
      </c>
      <c r="F134" s="126">
        <f ca="1"/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f ca="1"/>
        <v>-9.1431096942242635E-2</v>
      </c>
      <c r="F135" s="126">
        <f ca="1"/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f ca="1"/>
        <v>-0.21187073507578053</v>
      </c>
      <c r="F136" s="126">
        <f ca="1"/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f ca="1"/>
        <v>-0.30267530359008576</v>
      </c>
      <c r="F137" s="126">
        <f ca="1"/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f ca="1"/>
        <v>0.21279899182954726</v>
      </c>
      <c r="F138" s="126">
        <f ca="1"/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f ca="1"/>
        <v>5.1409210374823731E-2</v>
      </c>
      <c r="F139" s="126">
        <f ca="1"/>
        <v>-1.8738822833676356</v>
      </c>
      <c r="G139" s="439"/>
      <c r="H139" s="439"/>
      <c r="I139" s="439"/>
    </row>
    <row r="140" spans="2:9">
      <c r="D140" s="439"/>
      <c r="E140" s="125">
        <f ca="1"/>
        <v>0.70685522048944815</v>
      </c>
      <c r="F140" s="126">
        <f ca="1"/>
        <v>1.0028923126608638</v>
      </c>
      <c r="G140" s="439"/>
      <c r="H140" s="439"/>
      <c r="I140" s="439"/>
    </row>
    <row r="141" spans="2:9">
      <c r="E141" s="125">
        <f ca="1"/>
        <v>-0.33198021492010854</v>
      </c>
      <c r="F141" s="126">
        <f ca="1"/>
        <v>-0.74412006725614055</v>
      </c>
    </row>
    <row r="142" spans="2:9">
      <c r="E142" s="125">
        <f ca="1"/>
        <v>-0.88600131746401845</v>
      </c>
      <c r="F142" s="126">
        <f ca="1"/>
        <v>1.931276287589698</v>
      </c>
    </row>
    <row r="143" spans="2:9">
      <c r="E143" s="125">
        <f ca="1"/>
        <v>-6.1108551057670997E-2</v>
      </c>
      <c r="F143" s="126">
        <f ca="1"/>
        <v>0.38857864712905388</v>
      </c>
    </row>
    <row r="144" spans="2:9">
      <c r="E144" s="125">
        <f ca="1"/>
        <v>-0.55874715130596764</v>
      </c>
      <c r="F144" s="126">
        <f ca="1"/>
        <v>-0.15289113445596356</v>
      </c>
    </row>
    <row r="145" spans="5:6">
      <c r="E145" s="125">
        <f ca="1"/>
        <v>1.0965073943909254</v>
      </c>
      <c r="F145" s="126">
        <f ca="1"/>
        <v>0.22389670655705418</v>
      </c>
    </row>
    <row r="146" spans="5:6">
      <c r="E146" s="125">
        <f ca="1"/>
        <v>0.44051757578957157</v>
      </c>
      <c r="F146" s="126">
        <f ca="1"/>
        <v>-0.59697631692200226</v>
      </c>
    </row>
    <row r="147" spans="5:6">
      <c r="E147" s="125">
        <f ca="1"/>
        <v>-0.24037216180075424</v>
      </c>
      <c r="F147" s="126">
        <f ca="1"/>
        <v>-1.0904447104487331</v>
      </c>
    </row>
    <row r="148" spans="5:6">
      <c r="E148" s="125">
        <f ca="1"/>
        <v>-8.8166823894022877E-4</v>
      </c>
      <c r="F148" s="126">
        <f ca="1"/>
        <v>-0.14206662939394221</v>
      </c>
    </row>
    <row r="149" spans="5:6">
      <c r="E149" s="125">
        <f ca="1"/>
        <v>-0.14969739262215401</v>
      </c>
      <c r="F149" s="126">
        <f ca="1"/>
        <v>-0.54389019516318227</v>
      </c>
    </row>
    <row r="150" spans="5:6">
      <c r="E150" s="125">
        <f ca="1"/>
        <v>-0.92083350795883689</v>
      </c>
      <c r="F150" s="126">
        <f ca="1"/>
        <v>-0.6532211587259702</v>
      </c>
    </row>
    <row r="151" spans="5:6">
      <c r="E151" s="125">
        <f ca="1"/>
        <v>-1.0764899712107359</v>
      </c>
      <c r="F151" s="126">
        <f ca="1"/>
        <v>-0.62558832667807129</v>
      </c>
    </row>
    <row r="152" spans="5:6">
      <c r="E152" s="125">
        <f ca="1"/>
        <v>-0.21947173866600425</v>
      </c>
      <c r="F152" s="126">
        <f ca="1"/>
        <v>-1.9825498064517193</v>
      </c>
    </row>
    <row r="153" spans="5:6">
      <c r="E153" s="125">
        <f ca="1"/>
        <v>0.91605467339775526</v>
      </c>
      <c r="F153" s="126">
        <f ca="1"/>
        <v>2.0018973536605671</v>
      </c>
    </row>
    <row r="154" spans="5:6">
      <c r="E154" s="125">
        <f ca="1"/>
        <v>-0.8444992802006771</v>
      </c>
      <c r="F154" s="126">
        <f ca="1"/>
        <v>-1.6568717233794024</v>
      </c>
    </row>
    <row r="155" spans="5:6">
      <c r="E155" s="125">
        <f ca="1"/>
        <v>1.2682963768981825</v>
      </c>
      <c r="F155" s="126">
        <f ca="1"/>
        <v>-0.31174255977801213</v>
      </c>
    </row>
    <row r="156" spans="5:6">
      <c r="E156" s="125">
        <f ca="1"/>
        <v>7.9542410013188777E-2</v>
      </c>
      <c r="F156" s="126">
        <f ca="1"/>
        <v>0.46488023069332784</v>
      </c>
    </row>
    <row r="157" spans="5:6">
      <c r="E157" s="125">
        <f ca="1"/>
        <v>1.4640300463756799</v>
      </c>
      <c r="F157" s="126">
        <f ca="1"/>
        <v>0.15418034983715145</v>
      </c>
    </row>
    <row r="158" spans="5:6">
      <c r="E158" s="125">
        <f ca="1"/>
        <v>0.96357590104857871</v>
      </c>
      <c r="F158" s="126">
        <f ca="1"/>
        <v>0.58988453502361859</v>
      </c>
    </row>
    <row r="159" spans="5:6">
      <c r="E159" s="125">
        <f ca="1"/>
        <v>0.30429192596407545</v>
      </c>
      <c r="F159" s="126">
        <f ca="1"/>
        <v>-0.5658548187915855</v>
      </c>
    </row>
    <row r="160" spans="5:6">
      <c r="E160" s="125">
        <f ca="1"/>
        <v>-0.89553364635263466</v>
      </c>
      <c r="F160" s="126">
        <f ca="1"/>
        <v>0.84636171659955217</v>
      </c>
    </row>
    <row r="161" spans="5:6">
      <c r="E161" s="125">
        <f ca="1"/>
        <v>1.7215300670511962</v>
      </c>
      <c r="F161" s="126">
        <f ca="1"/>
        <v>9.7436835425233292E-2</v>
      </c>
    </row>
    <row r="162" spans="5:6">
      <c r="E162" s="125">
        <f ca="1"/>
        <v>1.720830635000675</v>
      </c>
      <c r="F162" s="126">
        <f ca="1"/>
        <v>1.0680493815912231</v>
      </c>
    </row>
    <row r="163" spans="5:6">
      <c r="E163" s="125">
        <f ca="1"/>
        <v>1.1800027393927328</v>
      </c>
      <c r="F163" s="126">
        <f ca="1"/>
        <v>-0.68984026678608856</v>
      </c>
    </row>
    <row r="164" spans="5:6">
      <c r="E164" s="125">
        <f ca="1"/>
        <v>-0.18806037521523697</v>
      </c>
      <c r="F164" s="126">
        <f ca="1"/>
        <v>0.33552774842138905</v>
      </c>
    </row>
    <row r="165" spans="5:6">
      <c r="E165" s="125">
        <f ca="1"/>
        <v>0.89115808668949248</v>
      </c>
      <c r="F165" s="126">
        <f ca="1"/>
        <v>1.6116385324900733</v>
      </c>
    </row>
    <row r="166" spans="5:6">
      <c r="E166" s="125">
        <f ca="1"/>
        <v>1.0044329379325341E-2</v>
      </c>
      <c r="F166" s="126">
        <f ca="1"/>
        <v>8.7580589072781836E-2</v>
      </c>
    </row>
    <row r="167" spans="5:6">
      <c r="E167" s="125">
        <f ca="1"/>
        <v>0.50225278398034379</v>
      </c>
      <c r="F167" s="126">
        <f ca="1"/>
        <v>-1.0459785177088876</v>
      </c>
    </row>
    <row r="168" spans="5:6">
      <c r="E168" s="125">
        <f ca="1"/>
        <v>2.6249780866021383E-2</v>
      </c>
      <c r="F168" s="126">
        <f ca="1"/>
        <v>0.18348089637100526</v>
      </c>
    </row>
    <row r="169" spans="5:6">
      <c r="E169" s="125">
        <f ca="1"/>
        <v>0.50433622145908918</v>
      </c>
      <c r="F169" s="126">
        <f ca="1"/>
        <v>-0.79726646667356205</v>
      </c>
    </row>
    <row r="170" spans="5:6">
      <c r="E170" s="125">
        <f ca="1"/>
        <v>-2.1496502133888749</v>
      </c>
      <c r="F170" s="126">
        <f ca="1"/>
        <v>-2.6038828407039869</v>
      </c>
    </row>
    <row r="171" spans="5:6">
      <c r="E171" s="125">
        <f ca="1"/>
        <v>0.98500956747093471</v>
      </c>
      <c r="F171" s="126">
        <f ca="1"/>
        <v>0.25895359302116328</v>
      </c>
    </row>
    <row r="172" spans="5:6">
      <c r="E172" s="125">
        <f ca="1"/>
        <v>0.61793246371250865</v>
      </c>
      <c r="F172" s="126">
        <f ca="1"/>
        <v>-0.26116679452390029</v>
      </c>
    </row>
    <row r="173" spans="5:6">
      <c r="E173" s="125">
        <f ca="1"/>
        <v>0.29691031563146875</v>
      </c>
      <c r="F173" s="126">
        <f ca="1"/>
        <v>-0.36719619291951078</v>
      </c>
    </row>
    <row r="174" spans="5:6">
      <c r="E174" s="125">
        <f ca="1"/>
        <v>2.473226548926343</v>
      </c>
      <c r="F174" s="126">
        <f ca="1"/>
        <v>1.4788301555563361</v>
      </c>
    </row>
    <row r="175" spans="5:6">
      <c r="E175" s="125">
        <f ca="1"/>
        <v>0.42641284474781083</v>
      </c>
      <c r="F175" s="126">
        <f ca="1"/>
        <v>0.9917780957273985</v>
      </c>
    </row>
    <row r="176" spans="5:6">
      <c r="E176" s="125">
        <f ca="1"/>
        <v>-0.98270009982047668</v>
      </c>
      <c r="F176" s="126">
        <f ca="1"/>
        <v>-1.7597574684440569</v>
      </c>
    </row>
    <row r="177" spans="5:6">
      <c r="E177" s="125">
        <f ca="1"/>
        <v>-0.10619811325803392</v>
      </c>
      <c r="F177" s="126">
        <f ca="1"/>
        <v>0.78540808588238253</v>
      </c>
    </row>
    <row r="178" spans="5:6">
      <c r="E178" s="125">
        <f ca="1"/>
        <v>-1.1424438777784323</v>
      </c>
      <c r="F178" s="126">
        <f ca="1"/>
        <v>-0.67239730283557686</v>
      </c>
    </row>
    <row r="179" spans="5:6">
      <c r="E179" s="125">
        <f ca="1"/>
        <v>-0.21243260074195636</v>
      </c>
      <c r="F179" s="126">
        <f ca="1"/>
        <v>0.69779561595897988</v>
      </c>
    </row>
    <row r="180" spans="5:6">
      <c r="E180" s="125">
        <f ca="1"/>
        <v>-0.31907668375768672</v>
      </c>
      <c r="F180" s="126">
        <f ca="1"/>
        <v>0.40312133513288823</v>
      </c>
    </row>
    <row r="181" spans="5:6">
      <c r="E181" s="125">
        <f ca="1"/>
        <v>0.33468800840166441</v>
      </c>
      <c r="F181" s="126">
        <f ca="1"/>
        <v>-0.51737760632027097</v>
      </c>
    </row>
    <row r="182" spans="5:6">
      <c r="E182" s="125">
        <f ca="1"/>
        <v>0.50499676151927686</v>
      </c>
      <c r="F182" s="126">
        <f ca="1"/>
        <v>-1.3967719780239771</v>
      </c>
    </row>
    <row r="183" spans="5:6">
      <c r="E183" s="125">
        <f ca="1"/>
        <v>0.863608628387463</v>
      </c>
      <c r="F183" s="126">
        <f ca="1"/>
        <v>1.7669497901936559E-2</v>
      </c>
    </row>
    <row r="184" spans="5:6">
      <c r="E184" s="125">
        <f ca="1"/>
        <v>-2.7587630599172877</v>
      </c>
      <c r="F184" s="126">
        <f ca="1"/>
        <v>-0.36719850654584918</v>
      </c>
    </row>
    <row r="185" spans="5:6">
      <c r="E185" s="125">
        <f ca="1"/>
        <v>0.46240265761130123</v>
      </c>
      <c r="F185" s="126">
        <f ca="1"/>
        <v>0.41754659097565339</v>
      </c>
    </row>
    <row r="186" spans="5:6">
      <c r="E186" s="125">
        <f ca="1"/>
        <v>-0.33389589259671326</v>
      </c>
      <c r="F186" s="126">
        <f ca="1"/>
        <v>0.38993347773094911</v>
      </c>
    </row>
    <row r="187" spans="5:6">
      <c r="E187" s="125">
        <f ca="1"/>
        <v>1.028058069270616</v>
      </c>
      <c r="F187" s="126">
        <f ca="1"/>
        <v>-1.6547266679371242</v>
      </c>
    </row>
    <row r="188" spans="5:6">
      <c r="E188" s="125">
        <f ca="1"/>
        <v>-1.5659571515789519</v>
      </c>
      <c r="F188" s="126">
        <f ca="1"/>
        <v>-0.49870755076942025</v>
      </c>
    </row>
    <row r="189" spans="5:6">
      <c r="E189" s="125">
        <f ca="1"/>
        <v>0.70609350471998489</v>
      </c>
      <c r="F189" s="126">
        <f ca="1"/>
        <v>1.2108119898887917</v>
      </c>
    </row>
    <row r="190" spans="5:6">
      <c r="E190" s="125">
        <f ca="1"/>
        <v>0.80411972151375544</v>
      </c>
      <c r="F190" s="126">
        <f ca="1"/>
        <v>-7.3410643817291454E-2</v>
      </c>
    </row>
    <row r="191" spans="5:6">
      <c r="E191" s="125">
        <f ca="1"/>
        <v>1.7547755576057253</v>
      </c>
      <c r="F191" s="126">
        <f ca="1"/>
        <v>1.2650060777978471</v>
      </c>
    </row>
    <row r="192" spans="5:6">
      <c r="E192" s="125">
        <f ca="1"/>
        <v>-0.3859436116857301</v>
      </c>
      <c r="F192" s="126">
        <f ca="1"/>
        <v>-0.5140861535916883</v>
      </c>
    </row>
    <row r="193" spans="5:6">
      <c r="E193" s="125">
        <f ca="1"/>
        <v>-1.6169891726572032</v>
      </c>
      <c r="F193" s="126">
        <f ca="1"/>
        <v>-1.0241786448096504</v>
      </c>
    </row>
    <row r="194" spans="5:6">
      <c r="E194" s="125">
        <f ca="1"/>
        <v>0.53167290579956916</v>
      </c>
      <c r="F194" s="126">
        <f ca="1"/>
        <v>-0.66222878597165336</v>
      </c>
    </row>
    <row r="195" spans="5:6">
      <c r="E195" s="125">
        <f ca="1"/>
        <v>6.5443228707294687E-2</v>
      </c>
      <c r="F195" s="126">
        <f ca="1"/>
        <v>-0.50032654437531465</v>
      </c>
    </row>
    <row r="196" spans="5:6">
      <c r="E196" s="125">
        <f ca="1"/>
        <v>-2.1987215358931604E-2</v>
      </c>
      <c r="F196" s="126">
        <f ca="1"/>
        <v>-0.57793881436663241</v>
      </c>
    </row>
    <row r="197" spans="5:6">
      <c r="E197" s="125">
        <f ca="1"/>
        <v>0.46256721575986759</v>
      </c>
      <c r="F197" s="126">
        <f ca="1"/>
        <v>0.56688633803313615</v>
      </c>
    </row>
    <row r="198" spans="5:6">
      <c r="E198" s="125">
        <f ca="1"/>
        <v>1.9247923185797389</v>
      </c>
      <c r="F198" s="126">
        <f ca="1"/>
        <v>1.3529757645210971</v>
      </c>
    </row>
    <row r="199" spans="5:6">
      <c r="E199" s="125">
        <f ca="1"/>
        <v>0.67152742633508133</v>
      </c>
      <c r="F199" s="126">
        <f ca="1"/>
        <v>-0.95609413111295227</v>
      </c>
    </row>
    <row r="200" spans="5:6">
      <c r="E200" s="125">
        <f ca="1"/>
        <v>0.9780203880833418</v>
      </c>
      <c r="F200" s="126">
        <f ca="1"/>
        <v>-1.1819663997930725</v>
      </c>
    </row>
    <row r="201" spans="5:6">
      <c r="E201" s="125">
        <f ca="1"/>
        <v>9.7776697591451453E-2</v>
      </c>
      <c r="F201" s="126">
        <f ca="1"/>
        <v>0.35874386780712708</v>
      </c>
    </row>
    <row r="202" spans="5:6">
      <c r="E202" s="125">
        <f ca="1"/>
        <v>0.27993766822148569</v>
      </c>
      <c r="F202" s="126">
        <f ca="1"/>
        <v>1.4468935158775549</v>
      </c>
    </row>
    <row r="203" spans="5:6">
      <c r="E203" s="125">
        <f ca="1"/>
        <v>-0.62779716766341387</v>
      </c>
      <c r="F203" s="126">
        <f ca="1"/>
        <v>0.11048267487121821</v>
      </c>
    </row>
    <row r="204" spans="5:6">
      <c r="E204" s="125">
        <f ca="1"/>
        <v>0.16243660080584485</v>
      </c>
      <c r="F204" s="126">
        <f ca="1"/>
        <v>-1.1153858107005596</v>
      </c>
    </row>
    <row r="205" spans="5:6">
      <c r="E205" s="125">
        <f ca="1"/>
        <v>0.9860723619258096</v>
      </c>
      <c r="F205" s="126">
        <f ca="1"/>
        <v>0.65669165130257201</v>
      </c>
    </row>
    <row r="206" spans="5:6">
      <c r="E206" s="125">
        <f ca="1"/>
        <v>2.7930281231195897</v>
      </c>
      <c r="F206" s="126">
        <f ca="1"/>
        <v>-0.26820361808402216</v>
      </c>
    </row>
    <row r="207" spans="5:6">
      <c r="E207" s="125">
        <f ca="1"/>
        <v>0.62792680297973469</v>
      </c>
      <c r="F207" s="126">
        <f ca="1"/>
        <v>-0.31735748852766066</v>
      </c>
    </row>
    <row r="208" spans="5:6">
      <c r="E208" s="125">
        <f ca="1"/>
        <v>-0.65969703489988807</v>
      </c>
      <c r="F208" s="126">
        <f ca="1"/>
        <v>-1.2439226638226892</v>
      </c>
    </row>
    <row r="209" spans="5:6">
      <c r="E209" s="125">
        <f ca="1"/>
        <v>1.0826951457065646</v>
      </c>
      <c r="F209" s="126">
        <f ca="1"/>
        <v>-0.14723042317928869</v>
      </c>
    </row>
    <row r="210" spans="5:6">
      <c r="E210" s="125">
        <f ca="1"/>
        <v>-2.1868193390200261</v>
      </c>
      <c r="F210" s="126">
        <f ca="1"/>
        <v>-9.0250202716002148E-2</v>
      </c>
    </row>
    <row r="211" spans="5:6">
      <c r="E211" s="125">
        <f ca="1"/>
        <v>-0.51374156559767825</v>
      </c>
      <c r="F211" s="126">
        <f ca="1"/>
        <v>-0.38616334194847429</v>
      </c>
    </row>
    <row r="212" spans="5:6">
      <c r="E212" s="125">
        <f ca="1"/>
        <v>-1.3466588678274796</v>
      </c>
      <c r="F212" s="126">
        <f ca="1"/>
        <v>-1.4269074673359015</v>
      </c>
    </row>
    <row r="213" spans="5:6">
      <c r="E213" s="125">
        <f ca="1"/>
        <v>0.27808394980380907</v>
      </c>
      <c r="F213" s="126">
        <f ca="1"/>
        <v>-0.2313908448144856</v>
      </c>
    </row>
    <row r="214" spans="5:6">
      <c r="E214" s="125">
        <f ca="1"/>
        <v>1.5462889736876682</v>
      </c>
      <c r="F214" s="126">
        <f ca="1"/>
        <v>0.24550932458339358</v>
      </c>
    </row>
    <row r="215" spans="5:6">
      <c r="E215" s="125">
        <f ca="1"/>
        <v>-0.5923458699002222</v>
      </c>
      <c r="F215" s="126">
        <f ca="1"/>
        <v>-1.7487776314028172</v>
      </c>
    </row>
    <row r="216" spans="5:6">
      <c r="E216" s="125">
        <f ca="1"/>
        <v>1.9342596462199904</v>
      </c>
      <c r="F216" s="126">
        <f ca="1"/>
        <v>0.84098735904030919</v>
      </c>
    </row>
    <row r="217" spans="5:6">
      <c r="E217" s="125">
        <f ca="1"/>
        <v>1.1920352851635663</v>
      </c>
      <c r="F217" s="126">
        <f ca="1"/>
        <v>0.87536147648567963</v>
      </c>
    </row>
    <row r="218" spans="5:6">
      <c r="E218" s="125">
        <f ca="1"/>
        <v>-2.1354251794755204E-2</v>
      </c>
      <c r="F218" s="126">
        <f ca="1"/>
        <v>-1.3234815477346407</v>
      </c>
    </row>
    <row r="219" spans="5:6">
      <c r="E219" s="125">
        <f ca="1"/>
        <v>-0.55942050834103574</v>
      </c>
      <c r="F219" s="126">
        <f ca="1"/>
        <v>0.725925611984374</v>
      </c>
    </row>
    <row r="220" spans="5:6">
      <c r="E220" s="125">
        <f ca="1"/>
        <v>-0.40991003456258013</v>
      </c>
      <c r="F220" s="126">
        <f ca="1"/>
        <v>0.49322847009673576</v>
      </c>
    </row>
    <row r="221" spans="5:6">
      <c r="E221" s="125">
        <f ca="1"/>
        <v>2.1988514227094039E-2</v>
      </c>
      <c r="F221" s="126">
        <f ca="1"/>
        <v>-1.5016919635001784</v>
      </c>
    </row>
    <row r="222" spans="5:6">
      <c r="E222" s="125">
        <f ca="1"/>
        <v>0.59135175634258896</v>
      </c>
      <c r="F222" s="126">
        <f ca="1"/>
        <v>-0.1341985937313846</v>
      </c>
    </row>
    <row r="223" spans="5:6">
      <c r="E223" s="125">
        <f ca="1"/>
        <v>-1.0507271193416956</v>
      </c>
      <c r="F223" s="126">
        <f ca="1"/>
        <v>-0.51912754978794962</v>
      </c>
    </row>
    <row r="224" spans="5:6">
      <c r="E224" s="125">
        <f ca="1"/>
        <v>-2.2939473468112239</v>
      </c>
      <c r="F224" s="126">
        <f ca="1"/>
        <v>-0.43243086924508789</v>
      </c>
    </row>
    <row r="225" spans="5:6">
      <c r="E225" s="125">
        <f ca="1"/>
        <v>0.48984251587331651</v>
      </c>
      <c r="F225" s="126">
        <f ca="1"/>
        <v>0.3629032062244425</v>
      </c>
    </row>
    <row r="226" spans="5:6">
      <c r="E226" s="125">
        <f ca="1"/>
        <v>0.70615194140562998</v>
      </c>
      <c r="F226" s="126">
        <f ca="1"/>
        <v>9.2672912177603151E-2</v>
      </c>
    </row>
    <row r="227" spans="5:6">
      <c r="E227" s="125">
        <f ca="1"/>
        <v>1.2259167836294167</v>
      </c>
      <c r="F227" s="126">
        <f ca="1"/>
        <v>1.0843921508589793</v>
      </c>
    </row>
    <row r="228" spans="5:6">
      <c r="E228" s="125">
        <f ca="1"/>
        <v>0.44378998344608472</v>
      </c>
      <c r="F228" s="126">
        <f ca="1"/>
        <v>-1.0519840370414137</v>
      </c>
    </row>
    <row r="229" spans="5:6">
      <c r="E229" s="125">
        <f ca="1"/>
        <v>9.6224928363146583E-2</v>
      </c>
      <c r="F229" s="126">
        <f ca="1"/>
        <v>0.93412184024248879</v>
      </c>
    </row>
    <row r="230" spans="5:6">
      <c r="E230" s="125">
        <f ca="1"/>
        <v>-0.8762556877814629</v>
      </c>
      <c r="F230" s="126">
        <f ca="1"/>
        <v>0.36321090216841856</v>
      </c>
    </row>
    <row r="231" spans="5:6">
      <c r="E231" s="125">
        <f ca="1"/>
        <v>0.72810708935373014</v>
      </c>
      <c r="F231" s="126">
        <f ca="1"/>
        <v>-1.2747175556680839</v>
      </c>
    </row>
    <row r="232" spans="5:6">
      <c r="E232" s="125">
        <f ca="1"/>
        <v>0.43017177828252023</v>
      </c>
      <c r="F232" s="126">
        <f ca="1"/>
        <v>0.59960909012051</v>
      </c>
    </row>
    <row r="233" spans="5:6">
      <c r="E233" s="125">
        <f ca="1"/>
        <v>-9.9853780857881491E-2</v>
      </c>
      <c r="F233" s="126">
        <f ca="1"/>
        <v>8.641964573385108E-2</v>
      </c>
    </row>
    <row r="234" spans="5:6">
      <c r="E234" s="125">
        <f ca="1"/>
        <v>1.3476990609315769</v>
      </c>
      <c r="F234" s="126">
        <f ca="1"/>
        <v>0.72722292187024484</v>
      </c>
    </row>
    <row r="235" spans="5:6">
      <c r="E235" s="125">
        <f ca="1"/>
        <v>0.43254942321321643</v>
      </c>
      <c r="F235" s="126">
        <f ca="1"/>
        <v>0.6796151935048973</v>
      </c>
    </row>
    <row r="236" spans="5:6">
      <c r="E236" s="125">
        <f ca="1"/>
        <v>-0.98579270828865395</v>
      </c>
      <c r="F236" s="126">
        <f ca="1"/>
        <v>-1.1020004327000179</v>
      </c>
    </row>
    <row r="237" spans="5:6">
      <c r="E237" s="125">
        <f ca="1"/>
        <v>0.13757711286725449</v>
      </c>
      <c r="F237" s="126">
        <f ca="1"/>
        <v>0.55214171914025978</v>
      </c>
    </row>
    <row r="238" spans="5:6">
      <c r="E238" s="125">
        <f ca="1"/>
        <v>1.3443248184039669</v>
      </c>
      <c r="F238" s="126">
        <f ca="1"/>
        <v>2.0675126085644502</v>
      </c>
    </row>
    <row r="239" spans="5:6">
      <c r="E239" s="125">
        <f ca="1"/>
        <v>0.80782203516718254</v>
      </c>
      <c r="F239" s="126">
        <f ca="1"/>
        <v>0.96258203767303374</v>
      </c>
    </row>
    <row r="240" spans="5:6">
      <c r="E240" s="125">
        <f ca="1"/>
        <v>-0.45554694662875511</v>
      </c>
      <c r="F240" s="126">
        <f ca="1"/>
        <v>-0.26785985321647476</v>
      </c>
    </row>
    <row r="241" spans="5:6">
      <c r="E241" s="125">
        <f ca="1"/>
        <v>1.1490936456210052</v>
      </c>
      <c r="F241" s="126">
        <f ca="1"/>
        <v>0.64148097884025645</v>
      </c>
    </row>
    <row r="242" spans="5:6">
      <c r="E242" s="125">
        <f ca="1"/>
        <v>0.52525898259965065</v>
      </c>
      <c r="F242" s="126">
        <f ca="1"/>
        <v>1.4662366261009321</v>
      </c>
    </row>
    <row r="243" spans="5:6">
      <c r="E243" s="125">
        <f ca="1"/>
        <v>1.0849418236383948</v>
      </c>
      <c r="F243" s="126">
        <f ca="1"/>
        <v>1.711174537974709</v>
      </c>
    </row>
    <row r="244" spans="5:6">
      <c r="E244" s="125">
        <f ca="1"/>
        <v>-0.62663170461412543</v>
      </c>
      <c r="F244" s="126">
        <f ca="1"/>
        <v>0.39816504441769107</v>
      </c>
    </row>
    <row r="245" spans="5:6">
      <c r="E245" s="125">
        <f ca="1"/>
        <v>-0.506742454491937</v>
      </c>
      <c r="F245" s="126">
        <f ca="1"/>
        <v>0.6669141242949197</v>
      </c>
    </row>
    <row r="246" spans="5:6">
      <c r="E246" s="125">
        <f ca="1"/>
        <v>4.7540172641717976E-2</v>
      </c>
      <c r="F246" s="126">
        <f ca="1"/>
        <v>0.42288059296144903</v>
      </c>
    </row>
    <row r="247" spans="5:6">
      <c r="E247" s="125">
        <f ca="1"/>
        <v>2.0691183604794094</v>
      </c>
      <c r="F247" s="126">
        <f ca="1"/>
        <v>1.6587622090339909</v>
      </c>
    </row>
    <row r="248" spans="5:6">
      <c r="E248" s="125">
        <f ca="1"/>
        <v>-0.925057575262345</v>
      </c>
      <c r="F248" s="126">
        <f ca="1"/>
        <v>-0.42510486449910184</v>
      </c>
    </row>
    <row r="249" spans="5:6">
      <c r="E249" s="125">
        <f ca="1"/>
        <v>0.59345089881883117</v>
      </c>
      <c r="F249" s="126">
        <f ca="1"/>
        <v>0.72862405941001085</v>
      </c>
    </row>
    <row r="250" spans="5:6">
      <c r="E250" s="125">
        <f ca="1"/>
        <v>-8.0685653261843113E-2</v>
      </c>
      <c r="F250" s="126">
        <f ca="1"/>
        <v>1.731766618511305</v>
      </c>
    </row>
    <row r="251" spans="5:6">
      <c r="E251" s="125">
        <f ca="1"/>
        <v>-0.10210221862083954</v>
      </c>
      <c r="F251" s="126">
        <f ca="1"/>
        <v>-0.25689637294908702</v>
      </c>
    </row>
    <row r="252" spans="5:6">
      <c r="E252" s="125">
        <f ca="1"/>
        <v>-0.12827791600451344</v>
      </c>
      <c r="F252" s="126">
        <f ca="1"/>
        <v>-1.4127687455611357</v>
      </c>
    </row>
    <row r="253" spans="5:6">
      <c r="E253" s="125">
        <f ca="1"/>
        <v>0.44539774631615076</v>
      </c>
      <c r="F253" s="126">
        <f ca="1"/>
        <v>-0.39502098161145527</v>
      </c>
    </row>
    <row r="254" spans="5:6">
      <c r="E254" s="125">
        <f ca="1"/>
        <v>-0.26354671448282113</v>
      </c>
      <c r="F254" s="126">
        <f ca="1"/>
        <v>0.84554057148406003</v>
      </c>
    </row>
    <row r="255" spans="5:6">
      <c r="E255" s="125">
        <f ca="1"/>
        <v>1.2013235212028235</v>
      </c>
      <c r="F255" s="126">
        <f ca="1"/>
        <v>0.26351609490897043</v>
      </c>
    </row>
    <row r="256" spans="5:6">
      <c r="E256" s="125">
        <f ca="1"/>
        <v>0.81312021724325545</v>
      </c>
      <c r="F256" s="126">
        <f ca="1"/>
        <v>-1.0403167836372549</v>
      </c>
    </row>
    <row r="257" spans="5:6">
      <c r="E257" s="125">
        <f ca="1"/>
        <v>-4.2323241996771725E-2</v>
      </c>
      <c r="F257" s="126">
        <f ca="1"/>
        <v>-0.68121269443834886</v>
      </c>
    </row>
    <row r="258" spans="5:6">
      <c r="E258" s="125">
        <f ca="1"/>
        <v>-1.6548896512828936E-2</v>
      </c>
      <c r="F258" s="126">
        <f ca="1"/>
        <v>-0.23548378140150569</v>
      </c>
    </row>
    <row r="259" spans="5:6">
      <c r="E259" s="125">
        <f ca="1"/>
        <v>-0.21798606731311601</v>
      </c>
      <c r="F259" s="126">
        <f ca="1"/>
        <v>-0.73873213346534672</v>
      </c>
    </row>
    <row r="260" spans="5:6">
      <c r="E260" s="125">
        <f ca="1"/>
        <v>0.59461000541069997</v>
      </c>
      <c r="F260" s="126">
        <f ca="1"/>
        <v>0.45331957473435291</v>
      </c>
    </row>
    <row r="261" spans="5:6">
      <c r="E261" s="125">
        <f ca="1"/>
        <v>-1.570800215687598</v>
      </c>
      <c r="F261" s="126">
        <f ca="1"/>
        <v>-0.78302219841522325</v>
      </c>
    </row>
    <row r="262" spans="5:6">
      <c r="E262" s="125">
        <f ca="1"/>
        <v>0.81695537082956271</v>
      </c>
      <c r="F262" s="126">
        <f ca="1"/>
        <v>0.37735640894415962</v>
      </c>
    </row>
    <row r="263" spans="5:6">
      <c r="E263" s="125">
        <f ca="1"/>
        <v>0.4991414877992304</v>
      </c>
      <c r="F263" s="126">
        <f ca="1"/>
        <v>-0.68068778452307965</v>
      </c>
    </row>
    <row r="264" spans="5:6">
      <c r="E264" s="125">
        <f ca="1"/>
        <v>-0.38120894845031827</v>
      </c>
      <c r="F264" s="126">
        <f ca="1"/>
        <v>-0.34638739553559389</v>
      </c>
    </row>
    <row r="265" spans="5:6">
      <c r="E265" s="125">
        <f ca="1"/>
        <v>-2.25076658419695</v>
      </c>
      <c r="F265" s="126">
        <f ca="1"/>
        <v>0.10220883506805922</v>
      </c>
    </row>
    <row r="266" spans="5:6">
      <c r="E266" s="125">
        <f ca="1"/>
        <v>1.3386245087251876</v>
      </c>
      <c r="F266" s="126">
        <f ca="1"/>
        <v>0.53453828680107107</v>
      </c>
    </row>
    <row r="267" spans="5:6">
      <c r="E267" s="125">
        <f ca="1"/>
        <v>-0.33280389867021648</v>
      </c>
      <c r="F267" s="126">
        <f ca="1"/>
        <v>0.3316280478358099</v>
      </c>
    </row>
    <row r="268" spans="5:6">
      <c r="E268" s="125">
        <f ca="1"/>
        <v>0.56184004420843314</v>
      </c>
      <c r="F268" s="126">
        <f ca="1"/>
        <v>-0.77382383446858305</v>
      </c>
    </row>
    <row r="269" spans="5:6">
      <c r="E269" s="125">
        <f ca="1"/>
        <v>0.2296039222600787</v>
      </c>
      <c r="F269" s="126">
        <f ca="1"/>
        <v>0.18066190052338249</v>
      </c>
    </row>
    <row r="270" spans="5:6">
      <c r="E270" s="125">
        <f ca="1"/>
        <v>1.2660233063563722</v>
      </c>
      <c r="F270" s="126">
        <f ca="1"/>
        <v>-0.30548795135767115</v>
      </c>
    </row>
    <row r="271" spans="5:6">
      <c r="E271" s="125">
        <f ca="1"/>
        <v>-4.9122462980273743E-2</v>
      </c>
      <c r="F271" s="126">
        <f ca="1"/>
        <v>0.50578864005690882</v>
      </c>
    </row>
    <row r="272" spans="5:6">
      <c r="E272" s="125">
        <f ca="1"/>
        <v>-0.20136053851420513</v>
      </c>
      <c r="F272" s="126">
        <f ca="1"/>
        <v>-0.54954365689927509</v>
      </c>
    </row>
    <row r="273" spans="5:6">
      <c r="E273" s="125">
        <f ca="1"/>
        <v>-0.83075713527444417</v>
      </c>
      <c r="F273" s="126">
        <f ca="1"/>
        <v>-1.1717083101091978</v>
      </c>
    </row>
    <row r="274" spans="5:6">
      <c r="E274" s="125">
        <f ca="1"/>
        <v>-8.1515249102279419E-2</v>
      </c>
      <c r="F274" s="126">
        <f ca="1"/>
        <v>1.0304467363717635</v>
      </c>
    </row>
    <row r="275" spans="5:6">
      <c r="E275" s="125">
        <f ca="1"/>
        <v>0.42060061179352987</v>
      </c>
      <c r="F275" s="126">
        <f ca="1"/>
        <v>1.662823310112947</v>
      </c>
    </row>
    <row r="276" spans="5:6">
      <c r="E276" s="125">
        <f ca="1"/>
        <v>1.3042580425018544</v>
      </c>
      <c r="F276" s="126">
        <f ca="1"/>
        <v>1.3219954339398186</v>
      </c>
    </row>
    <row r="277" spans="5:6">
      <c r="E277" s="125">
        <f ca="1"/>
        <v>1.903663328597879</v>
      </c>
      <c r="F277" s="126">
        <f ca="1"/>
        <v>0.3503030131259961</v>
      </c>
    </row>
    <row r="278" spans="5:6">
      <c r="E278" s="125">
        <f ca="1"/>
        <v>0.34126673979749322</v>
      </c>
      <c r="F278" s="126">
        <f ca="1"/>
        <v>-0.51015126805654698</v>
      </c>
    </row>
    <row r="279" spans="5:6">
      <c r="E279" s="125">
        <f ca="1"/>
        <v>-8.2646524328612386E-2</v>
      </c>
      <c r="F279" s="126">
        <f ca="1"/>
        <v>1.8891529562242255</v>
      </c>
    </row>
    <row r="280" spans="5:6">
      <c r="E280" s="125">
        <f ca="1"/>
        <v>8.2384361896065766E-2</v>
      </c>
      <c r="F280" s="126">
        <f ca="1"/>
        <v>-1.1060452282207176</v>
      </c>
    </row>
    <row r="281" spans="5:6">
      <c r="E281" s="125">
        <f ca="1"/>
        <v>-2.069075586550726</v>
      </c>
      <c r="F281" s="126">
        <f ca="1"/>
        <v>-1.1617873239555496</v>
      </c>
    </row>
    <row r="282" spans="5:6">
      <c r="E282" s="125">
        <f ca="1"/>
        <v>-0.71433261283908289</v>
      </c>
      <c r="F282" s="126">
        <f ca="1"/>
        <v>-0.3154772543327985</v>
      </c>
    </row>
    <row r="283" spans="5:6">
      <c r="E283" s="125">
        <f ca="1"/>
        <v>-0.6285170754115107</v>
      </c>
      <c r="F283" s="126">
        <f ca="1"/>
        <v>0.23664941123335564</v>
      </c>
    </row>
    <row r="284" spans="5:6">
      <c r="E284" s="125">
        <f ca="1"/>
        <v>1.6118611296858081</v>
      </c>
      <c r="F284" s="126">
        <f ca="1"/>
        <v>6.1293097251867712E-3</v>
      </c>
    </row>
    <row r="285" spans="5:6">
      <c r="E285" s="125">
        <f ca="1"/>
        <v>7.2347348245717744E-2</v>
      </c>
      <c r="F285" s="126">
        <f ca="1"/>
        <v>-1.1190476668978369</v>
      </c>
    </row>
    <row r="286" spans="5:6">
      <c r="E286" s="125">
        <f ca="1"/>
        <v>0.14952454772362248</v>
      </c>
      <c r="F286" s="126">
        <f ca="1"/>
        <v>-0.35778871848984461</v>
      </c>
    </row>
    <row r="287" spans="5:6">
      <c r="E287" s="125">
        <f ca="1"/>
        <v>-1.04703872441546</v>
      </c>
      <c r="F287" s="126">
        <f ca="1"/>
        <v>-0.49072981931805509</v>
      </c>
    </row>
    <row r="288" spans="5:6">
      <c r="E288" s="125">
        <f ca="1"/>
        <v>0.69780853400880927</v>
      </c>
      <c r="F288" s="126">
        <f ca="1"/>
        <v>-0.48430682279217935</v>
      </c>
    </row>
    <row r="289" spans="5:6">
      <c r="E289" s="125">
        <f ca="1"/>
        <v>1.1610661581658341E-2</v>
      </c>
      <c r="F289" s="126">
        <f ca="1"/>
        <v>-7.9062556275647206E-2</v>
      </c>
    </row>
    <row r="290" spans="5:6">
      <c r="E290" s="125">
        <f ca="1"/>
        <v>-0.71874440154847874</v>
      </c>
      <c r="F290" s="126">
        <f ca="1"/>
        <v>-0.69988350515313436</v>
      </c>
    </row>
    <row r="291" spans="5:6">
      <c r="E291" s="125">
        <f ca="1"/>
        <v>-0.52081378098183195</v>
      </c>
      <c r="F291" s="126">
        <f ca="1"/>
        <v>-0.51517634276629454</v>
      </c>
    </row>
    <row r="292" spans="5:6">
      <c r="E292" s="125">
        <f ca="1"/>
        <v>-0.17698844504820233</v>
      </c>
      <c r="F292" s="126">
        <f ca="1"/>
        <v>0.15325060482800892</v>
      </c>
    </row>
    <row r="293" spans="5:6">
      <c r="E293" s="125">
        <f ca="1"/>
        <v>-0.31079358334370855</v>
      </c>
      <c r="F293" s="126">
        <f ca="1"/>
        <v>7.5188717718196796E-2</v>
      </c>
    </row>
    <row r="294" spans="5:6">
      <c r="E294" s="125">
        <f ca="1"/>
        <v>-0.26861340529971534</v>
      </c>
      <c r="F294" s="126">
        <f ca="1"/>
        <v>1.5618059561919606</v>
      </c>
    </row>
    <row r="295" spans="5:6">
      <c r="E295" s="125">
        <f ca="1"/>
        <v>2.3611673657222285</v>
      </c>
      <c r="F295" s="126">
        <f ca="1"/>
        <v>2.194633969150428E-2</v>
      </c>
    </row>
    <row r="296" spans="5:6">
      <c r="E296" s="125">
        <f ca="1"/>
        <v>2.6847701181165196E-2</v>
      </c>
      <c r="F296" s="126">
        <f ca="1"/>
        <v>0.38662050881752241</v>
      </c>
    </row>
    <row r="297" spans="5:6">
      <c r="E297" s="125">
        <f ca="1"/>
        <v>0.82332740776042657</v>
      </c>
      <c r="F297" s="126">
        <f ca="1"/>
        <v>-0.30786987564395546</v>
      </c>
    </row>
    <row r="298" spans="5:6">
      <c r="E298" s="125">
        <f ca="1"/>
        <v>-1.1483938988369959</v>
      </c>
      <c r="F298" s="126">
        <f ca="1"/>
        <v>-0.77532454628879621</v>
      </c>
    </row>
    <row r="299" spans="5:6">
      <c r="E299" s="125">
        <f ca="1"/>
        <v>-0.77437601649928833</v>
      </c>
      <c r="F299" s="126">
        <f ca="1"/>
        <v>-1.2493765056848987</v>
      </c>
    </row>
    <row r="300" spans="5:6">
      <c r="E300" s="125">
        <f ca="1"/>
        <v>0.47793876571724281</v>
      </c>
      <c r="F300" s="126">
        <f ca="1"/>
        <v>-9.84433017208729E-2</v>
      </c>
    </row>
    <row r="301" spans="5:6">
      <c r="E301" s="125">
        <f ca="1"/>
        <v>0.15451206482047125</v>
      </c>
      <c r="F301" s="126">
        <f ca="1"/>
        <v>-1.6415227916591519</v>
      </c>
    </row>
    <row r="302" spans="5:6">
      <c r="E302" s="125">
        <f ca="1"/>
        <v>-1.9158873728185031</v>
      </c>
      <c r="F302" s="126">
        <f ca="1"/>
        <v>-1.2632413955537953</v>
      </c>
    </row>
    <row r="303" spans="5:6">
      <c r="E303" s="125">
        <f ca="1"/>
        <v>0.4028540647599621</v>
      </c>
      <c r="F303" s="126">
        <f ca="1"/>
        <v>0.71918683690706331</v>
      </c>
    </row>
    <row r="304" spans="5:6">
      <c r="E304" s="125">
        <f ca="1"/>
        <v>-0.72624949522512361</v>
      </c>
      <c r="F304" s="126">
        <f ca="1"/>
        <v>0.75150367900425308</v>
      </c>
    </row>
    <row r="305" spans="5:6">
      <c r="E305" s="125">
        <f ca="1"/>
        <v>0.55223779139543483</v>
      </c>
      <c r="F305" s="126">
        <f ca="1"/>
        <v>-0.22940212486309941</v>
      </c>
    </row>
    <row r="306" spans="5:6">
      <c r="E306" s="125">
        <f ca="1"/>
        <v>0.63241458886202251</v>
      </c>
      <c r="F306" s="126">
        <f ca="1"/>
        <v>-4.0771594443522519E-2</v>
      </c>
    </row>
    <row r="307" spans="5:6">
      <c r="E307" s="125">
        <f ca="1"/>
        <v>5.9104409101936206E-2</v>
      </c>
      <c r="F307" s="126">
        <f ca="1"/>
        <v>0.14467709906444531</v>
      </c>
    </row>
    <row r="308" spans="5:6">
      <c r="E308" s="125">
        <f ca="1"/>
        <v>1.507898960928489</v>
      </c>
      <c r="F308" s="126">
        <f ca="1"/>
        <v>-0.56629228195706249</v>
      </c>
    </row>
    <row r="309" spans="5:6">
      <c r="E309" s="125">
        <f ca="1"/>
        <v>-0.43997239473290289</v>
      </c>
      <c r="F309" s="126">
        <f ca="1"/>
        <v>-0.26735067188611478</v>
      </c>
    </row>
    <row r="310" spans="5:6">
      <c r="E310" s="125">
        <f ca="1"/>
        <v>0.28872453933468351</v>
      </c>
      <c r="F310" s="126">
        <f ca="1"/>
        <v>0.14661009974409445</v>
      </c>
    </row>
    <row r="311" spans="5:6">
      <c r="E311" s="125">
        <f ca="1"/>
        <v>-1.4093376067891694</v>
      </c>
      <c r="F311" s="126">
        <f ca="1"/>
        <v>-1.4380910360360661</v>
      </c>
    </row>
    <row r="312" spans="5:6">
      <c r="E312" s="125">
        <f ca="1"/>
        <v>-0.2340367390958944</v>
      </c>
      <c r="F312" s="126">
        <f ca="1"/>
        <v>-1.2972709844735437</v>
      </c>
    </row>
    <row r="313" spans="5:6">
      <c r="E313" s="125">
        <f ca="1"/>
        <v>-0.33699569757970882</v>
      </c>
      <c r="F313" s="126">
        <f ca="1"/>
        <v>0.17840964047218894</v>
      </c>
    </row>
    <row r="314" spans="5:6">
      <c r="E314" s="125">
        <f ca="1"/>
        <v>1.0533787882459225</v>
      </c>
      <c r="F314" s="126">
        <f ca="1"/>
        <v>-0.67792648175601322</v>
      </c>
    </row>
    <row r="315" spans="5:6">
      <c r="E315" s="125">
        <f ca="1"/>
        <v>-2.2302428189940606</v>
      </c>
      <c r="F315" s="126">
        <f ca="1"/>
        <v>-1.9001586826091454</v>
      </c>
    </row>
    <row r="316" spans="5:6">
      <c r="E316" s="125">
        <f ca="1"/>
        <v>2.4487218447697972</v>
      </c>
      <c r="F316" s="126">
        <f ca="1"/>
        <v>2.7680137218041319</v>
      </c>
    </row>
    <row r="317" spans="5:6">
      <c r="E317" s="125">
        <f ca="1"/>
        <v>0.33268729246838247</v>
      </c>
      <c r="F317" s="126">
        <f ca="1"/>
        <v>-0.32913819587248988</v>
      </c>
    </row>
    <row r="318" spans="5:6">
      <c r="E318" s="125">
        <f ca="1"/>
        <v>-0.53776338944151358</v>
      </c>
      <c r="F318" s="126">
        <f ca="1"/>
        <v>-0.36007773875436555</v>
      </c>
    </row>
    <row r="319" spans="5:6">
      <c r="E319" s="125">
        <f ca="1"/>
        <v>0.49610233281735061</v>
      </c>
      <c r="F319" s="126">
        <f ca="1"/>
        <v>0.9443399986938511</v>
      </c>
    </row>
    <row r="320" spans="5:6">
      <c r="E320" s="125">
        <f ca="1"/>
        <v>-0.27888247339020289</v>
      </c>
      <c r="F320" s="126">
        <f ca="1"/>
        <v>1.2110076682404705</v>
      </c>
    </row>
    <row r="321" spans="5:6">
      <c r="E321" s="125">
        <f ca="1"/>
        <v>0.67556043087452577</v>
      </c>
      <c r="F321" s="126">
        <f ca="1"/>
        <v>-2.3928031493369417E-2</v>
      </c>
    </row>
    <row r="322" spans="5:6">
      <c r="E322" s="125">
        <f ca="1"/>
        <v>0.52140248312778248</v>
      </c>
      <c r="F322" s="126">
        <f ca="1"/>
        <v>0.81415544368704773</v>
      </c>
    </row>
    <row r="323" spans="5:6">
      <c r="E323" s="125">
        <f ca="1"/>
        <v>-0.76429197845862151</v>
      </c>
      <c r="F323" s="126">
        <f ca="1"/>
        <v>-1.3511450666976923</v>
      </c>
    </row>
    <row r="324" spans="5:6">
      <c r="E324" s="125">
        <f ca="1"/>
        <v>-0.36643707694166455</v>
      </c>
      <c r="F324" s="126">
        <f ca="1"/>
        <v>0.12894644704543731</v>
      </c>
    </row>
    <row r="325" spans="5:6">
      <c r="E325" s="125">
        <f ca="1"/>
        <v>-0.76730083029351559</v>
      </c>
      <c r="F325" s="126">
        <f ca="1"/>
        <v>0.53889541454143131</v>
      </c>
    </row>
    <row r="326" spans="5:6">
      <c r="E326" s="125">
        <f ca="1"/>
        <v>-1.8532243552550569</v>
      </c>
      <c r="F326" s="126">
        <f ca="1"/>
        <v>-1.0144990914822716</v>
      </c>
    </row>
    <row r="327" spans="5:6">
      <c r="E327" s="125">
        <f ca="1"/>
        <v>-0.27939761908603583</v>
      </c>
      <c r="F327" s="126">
        <f ca="1"/>
        <v>0.54708106755807184</v>
      </c>
    </row>
    <row r="328" spans="5:6">
      <c r="E328" s="125">
        <f ca="1"/>
        <v>-0.38763901705038362</v>
      </c>
      <c r="F328" s="126">
        <f ca="1"/>
        <v>-1.4196686679680255</v>
      </c>
    </row>
    <row r="329" spans="5:6">
      <c r="E329" s="125">
        <f ca="1"/>
        <v>-2.6558832431474465E-2</v>
      </c>
      <c r="F329" s="126">
        <f ca="1"/>
        <v>0.18705730378557356</v>
      </c>
    </row>
    <row r="330" spans="5:6">
      <c r="E330" s="125">
        <f ca="1"/>
        <v>-3.8213189307249373E-2</v>
      </c>
      <c r="F330" s="126">
        <f ca="1"/>
        <v>0.46981072422007369</v>
      </c>
    </row>
    <row r="331" spans="5:6">
      <c r="E331" s="125">
        <f ca="1"/>
        <v>-0.8420425771643163</v>
      </c>
      <c r="F331" s="126">
        <f ca="1"/>
        <v>-0.67921952806992247</v>
      </c>
    </row>
    <row r="332" spans="5:6">
      <c r="E332" s="125">
        <f ca="1"/>
        <v>-1.6622123778485427</v>
      </c>
      <c r="F332" s="126">
        <f ca="1"/>
        <v>-1.2817589196269876</v>
      </c>
    </row>
    <row r="333" spans="5:6">
      <c r="E333" s="125">
        <f ca="1"/>
        <v>-0.41580223936053523</v>
      </c>
      <c r="F333" s="126">
        <f ca="1"/>
        <v>-2.1888372797732508E-2</v>
      </c>
    </row>
    <row r="334" spans="5:6">
      <c r="E334" s="125">
        <f ca="1"/>
        <v>1.3723670541294144</v>
      </c>
      <c r="F334" s="126">
        <f ca="1"/>
        <v>1.3388257167632323</v>
      </c>
    </row>
    <row r="335" spans="5:6">
      <c r="E335" s="125">
        <f ca="1"/>
        <v>1.1264675125350492</v>
      </c>
      <c r="F335" s="126">
        <f ca="1"/>
        <v>0.98081150501679826</v>
      </c>
    </row>
    <row r="336" spans="5:6">
      <c r="E336" s="125">
        <f ca="1"/>
        <v>0.59945913573707488</v>
      </c>
      <c r="F336" s="126">
        <f ca="1"/>
        <v>-0.13716387951058512</v>
      </c>
    </row>
    <row r="337" spans="5:6">
      <c r="E337" s="125">
        <f ca="1"/>
        <v>-6.8474406758944714E-2</v>
      </c>
      <c r="F337" s="126">
        <f ca="1"/>
        <v>-0.46900407698589025</v>
      </c>
    </row>
    <row r="338" spans="5:6">
      <c r="E338" s="125">
        <f ca="1"/>
        <v>0.74697762366328024</v>
      </c>
      <c r="F338" s="126">
        <f ca="1"/>
        <v>0.35980603132346373</v>
      </c>
    </row>
    <row r="339" spans="5:6">
      <c r="E339" s="125">
        <f ca="1"/>
        <v>-1.0667478741440652</v>
      </c>
      <c r="F339" s="126">
        <f ca="1"/>
        <v>-1.4631375003716083</v>
      </c>
    </row>
    <row r="340" spans="5:6">
      <c r="E340" s="125">
        <f ca="1"/>
        <v>-1.3020480236270826</v>
      </c>
      <c r="F340" s="126">
        <f ca="1"/>
        <v>-0.36228207083499575</v>
      </c>
    </row>
    <row r="341" spans="5:6">
      <c r="E341" s="125">
        <f ca="1"/>
        <v>1.6379760995005508</v>
      </c>
      <c r="F341" s="126">
        <f ca="1"/>
        <v>1.2175726870916095</v>
      </c>
    </row>
    <row r="342" spans="5:6">
      <c r="E342" s="125">
        <f ca="1"/>
        <v>-1.7837780415620021</v>
      </c>
      <c r="F342" s="126">
        <f ca="1"/>
        <v>-1.7142314429626193</v>
      </c>
    </row>
    <row r="343" spans="5:6">
      <c r="E343" s="125">
        <f ca="1"/>
        <v>0.59971259069205296</v>
      </c>
      <c r="F343" s="126">
        <f ca="1"/>
        <v>-7.2856610912936937E-3</v>
      </c>
    </row>
    <row r="344" spans="5:6">
      <c r="E344" s="125">
        <f ca="1"/>
        <v>-0.64392316407812211</v>
      </c>
      <c r="F344" s="126">
        <f ca="1"/>
        <v>-4.038216627160518E-2</v>
      </c>
    </row>
    <row r="345" spans="5:6">
      <c r="E345" s="125">
        <f ca="1"/>
        <v>-0.54650173232800903</v>
      </c>
      <c r="F345" s="126">
        <f ca="1"/>
        <v>0.65182119951871864</v>
      </c>
    </row>
    <row r="346" spans="5:6">
      <c r="E346" s="125">
        <f ca="1"/>
        <v>-1.1478863196236633</v>
      </c>
      <c r="F346" s="126">
        <f ca="1"/>
        <v>-1.6277952507765612</v>
      </c>
    </row>
    <row r="347" spans="5:6">
      <c r="E347" s="125">
        <f ca="1"/>
        <v>-2.816912761808112</v>
      </c>
      <c r="F347" s="126">
        <f ca="1"/>
        <v>-1.4853231953970145</v>
      </c>
    </row>
    <row r="348" spans="5:6">
      <c r="E348" s="125">
        <f ca="1"/>
        <v>-0.71226778205325059</v>
      </c>
      <c r="F348" s="126">
        <f ca="1"/>
        <v>-0.67896214465801763</v>
      </c>
    </row>
    <row r="349" spans="5:6">
      <c r="E349" s="125">
        <f ca="1"/>
        <v>-0.4205347574950945</v>
      </c>
      <c r="F349" s="126">
        <f ca="1"/>
        <v>-0.55923458251973501</v>
      </c>
    </row>
    <row r="350" spans="5:6">
      <c r="E350" s="125">
        <f ca="1"/>
        <v>0.47378583310436306</v>
      </c>
      <c r="F350" s="126">
        <f ca="1"/>
        <v>2.0490349684748416E-2</v>
      </c>
    </row>
    <row r="351" spans="5:6">
      <c r="E351" s="125">
        <f ca="1"/>
        <v>1.0203284978635467</v>
      </c>
      <c r="F351" s="126">
        <f ca="1"/>
        <v>1.1508595267307975</v>
      </c>
    </row>
    <row r="352" spans="5:6">
      <c r="E352" s="125">
        <f ca="1"/>
        <v>-4.7095303218222459E-2</v>
      </c>
      <c r="F352" s="126">
        <f ca="1"/>
        <v>-0.64138692547319831</v>
      </c>
    </row>
    <row r="353" spans="5:6">
      <c r="E353" s="125">
        <f ca="1"/>
        <v>-0.43725425890958614</v>
      </c>
      <c r="F353" s="126">
        <f ca="1"/>
        <v>-0.64437933848146056</v>
      </c>
    </row>
    <row r="354" spans="5:6">
      <c r="E354" s="125">
        <f ca="1"/>
        <v>1.5261069803668288</v>
      </c>
      <c r="F354" s="126">
        <f ca="1"/>
        <v>2.6035212575611566</v>
      </c>
    </row>
    <row r="355" spans="5:6">
      <c r="E355" s="125">
        <f ca="1"/>
        <v>-0.11423509080355126</v>
      </c>
      <c r="F355" s="126">
        <f ca="1"/>
        <v>1.9467387963247442</v>
      </c>
    </row>
    <row r="356" spans="5:6">
      <c r="E356" s="125">
        <f ca="1"/>
        <v>0.20547281109330207</v>
      </c>
      <c r="F356" s="126">
        <f ca="1"/>
        <v>-1.2334676647309748</v>
      </c>
    </row>
    <row r="357" spans="5:6">
      <c r="E357" s="125">
        <f ca="1"/>
        <v>-0.75723937004149722</v>
      </c>
      <c r="F357" s="126">
        <f ca="1"/>
        <v>-0.52965750464294736</v>
      </c>
    </row>
    <row r="358" spans="5:6">
      <c r="E358" s="125">
        <f ca="1"/>
        <v>-0.89233225234859082</v>
      </c>
      <c r="F358" s="126">
        <f ca="1"/>
        <v>0.61190110772202899</v>
      </c>
    </row>
    <row r="359" spans="5:6">
      <c r="E359" s="125">
        <f ca="1"/>
        <v>0.94409864879318917</v>
      </c>
      <c r="F359" s="126">
        <f ca="1"/>
        <v>3.0574431314754298</v>
      </c>
    </row>
    <row r="360" spans="5:6">
      <c r="E360" s="125">
        <f ca="1"/>
        <v>-0.88927294152300751</v>
      </c>
      <c r="F360" s="126">
        <f ca="1"/>
        <v>-0.14650501604190769</v>
      </c>
    </row>
    <row r="361" spans="5:6">
      <c r="E361" s="125">
        <f ca="1"/>
        <v>1.8249150071821576</v>
      </c>
      <c r="F361" s="126">
        <f ca="1"/>
        <v>8.1369398164012785E-2</v>
      </c>
    </row>
    <row r="362" spans="5:6">
      <c r="E362" s="125">
        <f ca="1"/>
        <v>-0.41641376865639523</v>
      </c>
      <c r="F362" s="126">
        <f ca="1"/>
        <v>1.3128287730214394</v>
      </c>
    </row>
    <row r="363" spans="5:6">
      <c r="E363" s="125">
        <f ca="1"/>
        <v>-1.8326970774029645</v>
      </c>
      <c r="F363" s="126">
        <f ca="1"/>
        <v>-0.29293576651544306</v>
      </c>
    </row>
    <row r="364" spans="5:6">
      <c r="E364" s="125">
        <f ca="1"/>
        <v>-0.16933322502957046</v>
      </c>
      <c r="F364" s="126">
        <f ca="1"/>
        <v>9.5078948103964098E-2</v>
      </c>
    </row>
    <row r="365" spans="5:6">
      <c r="E365" s="125">
        <f ca="1"/>
        <v>-0.77020397597716961</v>
      </c>
      <c r="F365" s="126">
        <f ca="1"/>
        <v>-1.424632786719549</v>
      </c>
    </row>
    <row r="366" spans="5:6">
      <c r="E366" s="125">
        <f ca="1"/>
        <v>-1.4271364012280947</v>
      </c>
      <c r="F366" s="126">
        <f ca="1"/>
        <v>-0.23242795743256311</v>
      </c>
    </row>
    <row r="367" spans="5:6">
      <c r="E367" s="125">
        <f ca="1"/>
        <v>-0.60255321107820359</v>
      </c>
      <c r="F367" s="126">
        <f ca="1"/>
        <v>-0.49659072091763556</v>
      </c>
    </row>
    <row r="368" spans="5:6">
      <c r="E368" s="125">
        <f ca="1"/>
        <v>0.34781034156649371</v>
      </c>
      <c r="F368" s="126">
        <f ca="1"/>
        <v>1.0942415319747363</v>
      </c>
    </row>
    <row r="369" spans="5:6">
      <c r="E369" s="125">
        <f ca="1"/>
        <v>-1.4811146865376488</v>
      </c>
      <c r="F369" s="126">
        <f ca="1"/>
        <v>-1.0635526637467565</v>
      </c>
    </row>
    <row r="370" spans="5:6">
      <c r="E370" s="125">
        <f ca="1"/>
        <v>-1.5682659273681963</v>
      </c>
      <c r="F370" s="126">
        <f ca="1"/>
        <v>-4.801142896260302E-2</v>
      </c>
    </row>
    <row r="371" spans="5:6">
      <c r="E371" s="125">
        <f ca="1"/>
        <v>-0.1002083679403357</v>
      </c>
      <c r="F371" s="126">
        <f ca="1"/>
        <v>1.6720578672013466E-2</v>
      </c>
    </row>
    <row r="372" spans="5:6">
      <c r="E372" s="125">
        <f ca="1"/>
        <v>0.5938083083628326</v>
      </c>
      <c r="F372" s="126">
        <f ca="1"/>
        <v>-0.44429322787866349</v>
      </c>
    </row>
    <row r="373" spans="5:6">
      <c r="E373" s="125">
        <f ca="1"/>
        <v>-0.39398208077432617</v>
      </c>
      <c r="F373" s="126">
        <f ca="1"/>
        <v>0.32532985787285063</v>
      </c>
    </row>
    <row r="374" spans="5:6">
      <c r="E374" s="125">
        <f ca="1"/>
        <v>0.41274150023525802</v>
      </c>
      <c r="F374" s="126">
        <f ca="1"/>
        <v>0.24814628503148525</v>
      </c>
    </row>
    <row r="375" spans="5:6">
      <c r="E375" s="125">
        <f ca="1"/>
        <v>-0.44529222467668156</v>
      </c>
      <c r="F375" s="126">
        <f ca="1"/>
        <v>1.0276127322961017</v>
      </c>
    </row>
    <row r="376" spans="5:6">
      <c r="E376" s="125">
        <f ca="1"/>
        <v>-2.3731492898390658</v>
      </c>
      <c r="F376" s="126">
        <f ca="1"/>
        <v>-1.5559579409032342</v>
      </c>
    </row>
    <row r="377" spans="5:6">
      <c r="E377" s="125">
        <f ca="1"/>
        <v>0.8585309218371564</v>
      </c>
      <c r="F377" s="126">
        <f ca="1"/>
        <v>1.5039194962777063</v>
      </c>
    </row>
    <row r="378" spans="5:6">
      <c r="E378" s="125">
        <f ca="1"/>
        <v>0.7165735899636142</v>
      </c>
      <c r="F378" s="126">
        <f ca="1"/>
        <v>1.7004907840675434</v>
      </c>
    </row>
    <row r="379" spans="5:6">
      <c r="E379" s="125">
        <f ca="1"/>
        <v>1.0427775323617456</v>
      </c>
      <c r="F379" s="126">
        <f ca="1"/>
        <v>0.3508975991810282</v>
      </c>
    </row>
    <row r="380" spans="5:6">
      <c r="E380" s="125">
        <f ca="1"/>
        <v>-0.41619963003800631</v>
      </c>
      <c r="F380" s="126">
        <f ca="1"/>
        <v>0.1141580202238075</v>
      </c>
    </row>
    <row r="381" spans="5:6">
      <c r="E381" s="125">
        <f ca="1"/>
        <v>0.62412841378082251</v>
      </c>
      <c r="F381" s="126">
        <f ca="1"/>
        <v>1.3170559398187613</v>
      </c>
    </row>
    <row r="382" spans="5:6">
      <c r="E382" s="125">
        <f ca="1"/>
        <v>0.75946497147707448</v>
      </c>
      <c r="F382" s="126">
        <f ca="1"/>
        <v>0.42060300222375568</v>
      </c>
    </row>
    <row r="383" spans="5:6">
      <c r="E383" s="125">
        <f ca="1"/>
        <v>0.16484754029036569</v>
      </c>
      <c r="F383" s="126">
        <f ca="1"/>
        <v>1.5639964757333547</v>
      </c>
    </row>
    <row r="384" spans="5:6">
      <c r="E384" s="125">
        <f ca="1"/>
        <v>-0.42396282723882878</v>
      </c>
      <c r="F384" s="126">
        <f ca="1"/>
        <v>0.15187414223374537</v>
      </c>
    </row>
    <row r="385" spans="5:6">
      <c r="E385" s="125">
        <f ca="1"/>
        <v>0.82212488409929452</v>
      </c>
      <c r="F385" s="126">
        <f ca="1"/>
        <v>-0.15511018290071865</v>
      </c>
    </row>
    <row r="386" spans="5:6">
      <c r="E386" s="125">
        <f ca="1"/>
        <v>0.2032805590590519</v>
      </c>
      <c r="F386" s="126">
        <f ca="1"/>
        <v>-0.887595164298288</v>
      </c>
    </row>
    <row r="387" spans="5:6">
      <c r="E387" s="125">
        <f ca="1"/>
        <v>-0.96521466572080006</v>
      </c>
      <c r="F387" s="126">
        <f ca="1"/>
        <v>-1.0310709797400182</v>
      </c>
    </row>
    <row r="388" spans="5:6">
      <c r="E388" s="125">
        <f ca="1"/>
        <v>-0.94638179305608572</v>
      </c>
      <c r="F388" s="126">
        <f ca="1"/>
        <v>0.42160857955230063</v>
      </c>
    </row>
    <row r="389" spans="5:6">
      <c r="E389" s="125">
        <f ca="1"/>
        <v>-0.37481746694047602</v>
      </c>
      <c r="F389" s="126">
        <f ca="1"/>
        <v>0.40225705170794768</v>
      </c>
    </row>
    <row r="390" spans="5:6">
      <c r="E390" s="125">
        <f ca="1"/>
        <v>1.0203454427556489</v>
      </c>
      <c r="F390" s="126">
        <f ca="1"/>
        <v>8.2761730793269983E-2</v>
      </c>
    </row>
    <row r="391" spans="5:6">
      <c r="E391" s="125">
        <f ca="1"/>
        <v>1.2122875615697541</v>
      </c>
      <c r="F391" s="126">
        <f ca="1"/>
        <v>2.1337598499442154</v>
      </c>
    </row>
    <row r="392" spans="5:6">
      <c r="E392" s="125">
        <f ca="1"/>
        <v>-0.61008422746338364</v>
      </c>
      <c r="F392" s="126">
        <f ca="1"/>
        <v>-1.4951324940987814</v>
      </c>
    </row>
    <row r="393" spans="5:6">
      <c r="E393" s="125">
        <f ca="1"/>
        <v>0.25360010840103347</v>
      </c>
      <c r="F393" s="126">
        <f ca="1"/>
        <v>0.84452642821033641</v>
      </c>
    </row>
    <row r="394" spans="5:6">
      <c r="E394" s="125">
        <f ca="1"/>
        <v>0.65771457655704002</v>
      </c>
      <c r="F394" s="126">
        <f ca="1"/>
        <v>-0.17680400407349284</v>
      </c>
    </row>
    <row r="395" spans="5:6">
      <c r="E395" s="125">
        <f ca="1"/>
        <v>0.79562070309514954</v>
      </c>
      <c r="F395" s="126">
        <f ca="1"/>
        <v>1.3670033166023952</v>
      </c>
    </row>
    <row r="396" spans="5:6">
      <c r="E396" s="125">
        <f ca="1"/>
        <v>0.15964512054854543</v>
      </c>
      <c r="F396" s="126">
        <f ca="1"/>
        <v>0.35869269322408032</v>
      </c>
    </row>
    <row r="397" spans="5:6">
      <c r="E397" s="125">
        <f ca="1"/>
        <v>0.30716203498462641</v>
      </c>
      <c r="F397" s="126">
        <f ca="1"/>
        <v>7.1775285139438191E-2</v>
      </c>
    </row>
    <row r="398" spans="5:6">
      <c r="E398" s="125">
        <f ca="1"/>
        <v>1.2820525247406487</v>
      </c>
      <c r="F398" s="126">
        <f ca="1"/>
        <v>9.117266315684236E-2</v>
      </c>
    </row>
    <row r="399" spans="5:6">
      <c r="E399" s="125">
        <f ca="1"/>
        <v>1.2766514939494396</v>
      </c>
      <c r="F399" s="126">
        <f ca="1"/>
        <v>0.81468051900779337</v>
      </c>
    </row>
    <row r="400" spans="5:6">
      <c r="E400" s="125">
        <f ca="1"/>
        <v>0.1214232245667097</v>
      </c>
      <c r="F400" s="126">
        <f ca="1"/>
        <v>-1.196079981672342</v>
      </c>
    </row>
    <row r="401" spans="5:6">
      <c r="E401" s="125">
        <f ca="1"/>
        <v>-0.84842911871676097</v>
      </c>
      <c r="F401" s="126">
        <f ca="1"/>
        <v>-0.48524830102822308</v>
      </c>
    </row>
    <row r="402" spans="5:6">
      <c r="E402" s="125">
        <f ca="1"/>
        <v>-1.9575510869949635</v>
      </c>
      <c r="F402" s="126">
        <f ca="1"/>
        <v>0.6105422767707368</v>
      </c>
    </row>
    <row r="403" spans="5:6">
      <c r="E403" s="125">
        <f ca="1"/>
        <v>0.95426945819312403</v>
      </c>
      <c r="F403" s="126">
        <f ca="1"/>
        <v>1.4812235598750667</v>
      </c>
    </row>
    <row r="404" spans="5:6">
      <c r="E404" s="125">
        <f ca="1"/>
        <v>-1.4007817731225873</v>
      </c>
      <c r="F404" s="126">
        <f ca="1"/>
        <v>-0.30811608886996045</v>
      </c>
    </row>
    <row r="405" spans="5:6">
      <c r="E405" s="125">
        <f ca="1"/>
        <v>0.16610460776679126</v>
      </c>
      <c r="F405" s="126">
        <f ca="1"/>
        <v>0.24206284817396487</v>
      </c>
    </row>
    <row r="406" spans="5:6">
      <c r="E406" s="125">
        <f ca="1"/>
        <v>1.7013245710079701</v>
      </c>
      <c r="F406" s="126">
        <f ca="1"/>
        <v>-4.0753522870823788E-2</v>
      </c>
    </row>
    <row r="407" spans="5:6">
      <c r="E407" s="125">
        <f ca="1"/>
        <v>0.23879193444384986</v>
      </c>
      <c r="F407" s="126">
        <f ca="1"/>
        <v>0.79483117964936978</v>
      </c>
    </row>
    <row r="408" spans="5:6">
      <c r="E408" s="125">
        <f ca="1"/>
        <v>-0.11043666306391657</v>
      </c>
      <c r="F408" s="126">
        <f ca="1"/>
        <v>0.27038578095459903</v>
      </c>
    </row>
    <row r="409" spans="5:6">
      <c r="E409" s="125">
        <f ca="1"/>
        <v>0.96681147464316997</v>
      </c>
      <c r="F409" s="126">
        <f ca="1"/>
        <v>1.3508405019934788</v>
      </c>
    </row>
    <row r="410" spans="5:6">
      <c r="E410" s="125">
        <f ca="1"/>
        <v>-1.0478788580489908</v>
      </c>
      <c r="F410" s="126">
        <f ca="1"/>
        <v>-1.5616739524495953</v>
      </c>
    </row>
    <row r="411" spans="5:6">
      <c r="E411" s="125">
        <f ca="1"/>
        <v>-1.3193775837977681</v>
      </c>
      <c r="F411" s="126">
        <f ca="1"/>
        <v>-0.67327723591917421</v>
      </c>
    </row>
    <row r="412" spans="5:6">
      <c r="E412" s="125">
        <f ca="1"/>
        <v>0.45365385120120438</v>
      </c>
      <c r="F412" s="126">
        <f ca="1"/>
        <v>-0.61850761282423017</v>
      </c>
    </row>
    <row r="413" spans="5:6">
      <c r="E413" s="125">
        <f ca="1"/>
        <v>0.51538325525712292</v>
      </c>
      <c r="F413" s="126">
        <f ca="1"/>
        <v>0.75726649367435905</v>
      </c>
    </row>
    <row r="414" spans="5:6">
      <c r="E414" s="125">
        <f ca="1"/>
        <v>0.31512512191013925</v>
      </c>
      <c r="F414" s="126">
        <f ca="1"/>
        <v>-0.86889181493915923</v>
      </c>
    </row>
    <row r="415" spans="5:6">
      <c r="E415" s="125">
        <f ca="1"/>
        <v>-0.23487561857698475</v>
      </c>
      <c r="F415" s="126">
        <f ca="1"/>
        <v>0.83580957314203941</v>
      </c>
    </row>
    <row r="416" spans="5:6">
      <c r="E416" s="125">
        <f ca="1"/>
        <v>0.12618235707861766</v>
      </c>
      <c r="F416" s="126">
        <f ca="1"/>
        <v>-0.13105633203421146</v>
      </c>
    </row>
    <row r="417" spans="5:6">
      <c r="E417" s="125">
        <f ca="1"/>
        <v>1.2794364232261854</v>
      </c>
      <c r="F417" s="126">
        <f ca="1"/>
        <v>0.70016304424130749</v>
      </c>
    </row>
    <row r="418" spans="5:6">
      <c r="E418" s="125">
        <f ca="1"/>
        <v>1.3150316095970227</v>
      </c>
      <c r="F418" s="126">
        <f ca="1"/>
        <v>2.3263768518409407</v>
      </c>
    </row>
    <row r="419" spans="5:6">
      <c r="E419" s="125">
        <f ca="1"/>
        <v>0.42794032694868117</v>
      </c>
      <c r="F419" s="126">
        <f ca="1"/>
        <v>-0.11787280730305474</v>
      </c>
    </row>
    <row r="420" spans="5:6">
      <c r="E420" s="125">
        <f ca="1"/>
        <v>1.2720308378563858</v>
      </c>
      <c r="F420" s="126">
        <f ca="1"/>
        <v>-0.31788219781381233</v>
      </c>
    </row>
    <row r="421" spans="5:6">
      <c r="E421" s="125">
        <f ca="1"/>
        <v>0.62638303757065517</v>
      </c>
      <c r="F421" s="126">
        <f ca="1"/>
        <v>1.8797712261433646</v>
      </c>
    </row>
    <row r="422" spans="5:6">
      <c r="E422" s="125">
        <f ca="1"/>
        <v>-0.63595629205145576</v>
      </c>
      <c r="F422" s="126">
        <f ca="1"/>
        <v>-1.301986193700378</v>
      </c>
    </row>
    <row r="423" spans="5:6">
      <c r="E423" s="125">
        <f ca="1"/>
        <v>-1.7176654948500003</v>
      </c>
      <c r="F423" s="126">
        <f ca="1"/>
        <v>0.1342594201724191</v>
      </c>
    </row>
    <row r="424" spans="5:6">
      <c r="E424" s="125">
        <f ca="1"/>
        <v>0.58033842441529793</v>
      </c>
      <c r="F424" s="126">
        <f ca="1"/>
        <v>-0.54684976185867162</v>
      </c>
    </row>
    <row r="425" spans="5:6">
      <c r="E425" s="125">
        <f ca="1"/>
        <v>0.75034376651255519</v>
      </c>
      <c r="F425" s="126">
        <f ca="1"/>
        <v>0.22084495884753877</v>
      </c>
    </row>
    <row r="426" spans="5:6">
      <c r="E426" s="125">
        <f ca="1"/>
        <v>-3.7240829376440396E-2</v>
      </c>
      <c r="F426" s="126">
        <f ca="1"/>
        <v>0.27771497496192848</v>
      </c>
    </row>
    <row r="427" spans="5:6">
      <c r="E427" s="125">
        <f ca="1"/>
        <v>0.62804230845938447</v>
      </c>
      <c r="F427" s="126">
        <f ca="1"/>
        <v>-0.95043134086279468</v>
      </c>
    </row>
    <row r="428" spans="5:6">
      <c r="E428" s="125">
        <f ca="1"/>
        <v>-0.58021495834759695</v>
      </c>
      <c r="F428" s="126">
        <f ca="1"/>
        <v>0.13397702991985244</v>
      </c>
    </row>
    <row r="429" spans="5:6">
      <c r="E429" s="125">
        <f ca="1"/>
        <v>0.46129267768354287</v>
      </c>
      <c r="F429" s="126">
        <f ca="1"/>
        <v>0.24828566485135184</v>
      </c>
    </row>
    <row r="430" spans="5:6">
      <c r="E430" s="125">
        <f ca="1"/>
        <v>-1.5693824766382021</v>
      </c>
      <c r="F430" s="126">
        <f ca="1"/>
        <v>-0.52519540638787965</v>
      </c>
    </row>
    <row r="431" spans="5:6">
      <c r="E431" s="125">
        <f ca="1"/>
        <v>-0.18799184158865603</v>
      </c>
      <c r="F431" s="126">
        <f ca="1"/>
        <v>-0.84722342350651236</v>
      </c>
    </row>
    <row r="432" spans="5:6">
      <c r="E432" s="125">
        <f ca="1"/>
        <v>-0.82368779904062694</v>
      </c>
      <c r="F432" s="126">
        <f ca="1"/>
        <v>-2.0879157869850404</v>
      </c>
    </row>
    <row r="433" spans="5:6">
      <c r="E433" s="125">
        <f ca="1"/>
        <v>5.4382983777492261E-2</v>
      </c>
      <c r="F433" s="126">
        <f ca="1"/>
        <v>0.97964424340102119</v>
      </c>
    </row>
    <row r="434" spans="5:6">
      <c r="E434" s="125">
        <f ca="1"/>
        <v>0.35856326940327554</v>
      </c>
      <c r="F434" s="126">
        <f ca="1"/>
        <v>0.37227957511098925</v>
      </c>
    </row>
    <row r="435" spans="5:6">
      <c r="E435" s="125">
        <f ca="1"/>
        <v>-1.7315312191141585</v>
      </c>
      <c r="F435" s="126">
        <f ca="1"/>
        <v>-0.9651732043786927</v>
      </c>
    </row>
    <row r="436" spans="5:6">
      <c r="E436" s="125">
        <f ca="1"/>
        <v>-0.5651839290270364</v>
      </c>
      <c r="F436" s="126">
        <f ca="1"/>
        <v>-1.7556230708528242</v>
      </c>
    </row>
    <row r="437" spans="5:6">
      <c r="E437" s="125">
        <f ca="1"/>
        <v>1.2932917013184373</v>
      </c>
      <c r="F437" s="126">
        <f ca="1"/>
        <v>-0.66979576336270374</v>
      </c>
    </row>
    <row r="438" spans="5:6">
      <c r="E438" s="125">
        <f ca="1"/>
        <v>-0.14453679957607185</v>
      </c>
      <c r="F438" s="126">
        <f ca="1"/>
        <v>0.23126716457292276</v>
      </c>
    </row>
    <row r="439" spans="5:6">
      <c r="E439" s="125">
        <f ca="1"/>
        <v>1.7455239138436411</v>
      </c>
      <c r="F439" s="126">
        <f ca="1"/>
        <v>0.98062755314019923</v>
      </c>
    </row>
    <row r="440" spans="5:6">
      <c r="E440" s="125">
        <f ca="1"/>
        <v>-0.39628966919317443</v>
      </c>
      <c r="F440" s="126">
        <f ca="1"/>
        <v>-0.54935333593001967</v>
      </c>
    </row>
    <row r="441" spans="5:6">
      <c r="E441" s="125">
        <f ca="1"/>
        <v>-0.61039041505612168</v>
      </c>
      <c r="F441" s="126">
        <f ca="1"/>
        <v>0.33178131918224674</v>
      </c>
    </row>
    <row r="442" spans="5:6">
      <c r="E442" s="125">
        <f ca="1"/>
        <v>-6.5899034374306887E-4</v>
      </c>
      <c r="F442" s="126">
        <f ca="1"/>
        <v>1.5297592296757225</v>
      </c>
    </row>
    <row r="443" spans="5:6">
      <c r="E443" s="125">
        <f ca="1"/>
        <v>1.7776739489750157</v>
      </c>
      <c r="F443" s="126">
        <f ca="1"/>
        <v>-0.21108768081367291</v>
      </c>
    </row>
    <row r="444" spans="5:6">
      <c r="E444" s="125">
        <f ca="1"/>
        <v>0.39905090172244245</v>
      </c>
      <c r="F444" s="126">
        <f ca="1"/>
        <v>1.2019039283214754</v>
      </c>
    </row>
    <row r="445" spans="5:6">
      <c r="E445" s="125">
        <f ca="1"/>
        <v>-0.14197279406271227</v>
      </c>
      <c r="F445" s="126">
        <f ca="1"/>
        <v>0.29022449127691258</v>
      </c>
    </row>
    <row r="446" spans="5:6">
      <c r="E446" s="125">
        <f ca="1"/>
        <v>1.6392070061059967</v>
      </c>
      <c r="F446" s="126">
        <f ca="1"/>
        <v>1.4177578011356096</v>
      </c>
    </row>
    <row r="447" spans="5:6">
      <c r="E447" s="125">
        <f ca="1"/>
        <v>-1.0805137516861905</v>
      </c>
      <c r="F447" s="126">
        <f ca="1"/>
        <v>-0.52437027577736517</v>
      </c>
    </row>
    <row r="448" spans="5:6">
      <c r="E448" s="125">
        <f ca="1"/>
        <v>-1.8374160228821486</v>
      </c>
      <c r="F448" s="126">
        <f ca="1"/>
        <v>-9.5157419728425396E-2</v>
      </c>
    </row>
    <row r="449" spans="5:6">
      <c r="E449" s="125">
        <f ca="1"/>
        <v>2.8110674448438715E-2</v>
      </c>
      <c r="F449" s="126">
        <f ca="1"/>
        <v>-0.34765736247276907</v>
      </c>
    </row>
    <row r="450" spans="5:6">
      <c r="E450" s="125">
        <f ca="1"/>
        <v>0.14169368122491893</v>
      </c>
      <c r="F450" s="126">
        <f ca="1"/>
        <v>0.12509515370094457</v>
      </c>
    </row>
    <row r="451" spans="5:6">
      <c r="E451" s="125">
        <f ca="1"/>
        <v>0.54098220064845237</v>
      </c>
      <c r="F451" s="126">
        <f ca="1"/>
        <v>0.62652293647610136</v>
      </c>
    </row>
    <row r="452" spans="5:6">
      <c r="E452" s="125">
        <f ca="1"/>
        <v>0.36059844328735646</v>
      </c>
      <c r="F452" s="126">
        <f ca="1"/>
        <v>-3.0458324933541947E-2</v>
      </c>
    </row>
    <row r="453" spans="5:6">
      <c r="E453" s="125">
        <f ca="1"/>
        <v>-0.46940947302301023</v>
      </c>
      <c r="F453" s="126">
        <f ca="1"/>
        <v>-0.88153826675902569</v>
      </c>
    </row>
    <row r="454" spans="5:6">
      <c r="E454" s="125">
        <f ca="1"/>
        <v>-1.0008858456717598</v>
      </c>
      <c r="F454" s="126">
        <f ca="1"/>
        <v>-1.575585466938664</v>
      </c>
    </row>
    <row r="455" spans="5:6">
      <c r="E455" s="125">
        <f ca="1"/>
        <v>-0.6118305160382792</v>
      </c>
      <c r="F455" s="126">
        <f ca="1"/>
        <v>-0.69623538521639361</v>
      </c>
    </row>
    <row r="456" spans="5:6">
      <c r="E456" s="125">
        <f ca="1"/>
        <v>0.60210413116869288</v>
      </c>
      <c r="F456" s="126">
        <f ca="1"/>
        <v>0.29657465524302701</v>
      </c>
    </row>
    <row r="457" spans="5:6">
      <c r="E457" s="125">
        <f ca="1"/>
        <v>1.3302877523830712</v>
      </c>
      <c r="F457" s="126">
        <f ca="1"/>
        <v>1.5803641624571099</v>
      </c>
    </row>
    <row r="458" spans="5:6">
      <c r="E458" s="125">
        <f ca="1"/>
        <v>-0.30936986502893016</v>
      </c>
      <c r="F458" s="126">
        <f ca="1"/>
        <v>-0.94259087293907262</v>
      </c>
    </row>
    <row r="459" spans="5:6">
      <c r="E459" s="125">
        <f ca="1"/>
        <v>0.25470283186382076</v>
      </c>
      <c r="F459" s="126">
        <f ca="1"/>
        <v>-0.47174516619837803</v>
      </c>
    </row>
    <row r="460" spans="5:6">
      <c r="E460" s="125">
        <f ca="1"/>
        <v>2.8963667605228768E-2</v>
      </c>
      <c r="F460" s="126">
        <f ca="1"/>
        <v>0.69558515204390403</v>
      </c>
    </row>
    <row r="461" spans="5:6">
      <c r="E461" s="125">
        <f ca="1"/>
        <v>-6.7523468957234933E-2</v>
      </c>
      <c r="F461" s="126">
        <f ca="1"/>
        <v>0.72141236407741016</v>
      </c>
    </row>
    <row r="462" spans="5:6">
      <c r="E462" s="125">
        <f ca="1"/>
        <v>0.19739572669703548</v>
      </c>
      <c r="F462" s="126">
        <f ca="1"/>
        <v>-0.80577413090492134</v>
      </c>
    </row>
    <row r="463" spans="5:6">
      <c r="E463" s="125">
        <f ca="1"/>
        <v>0.49249853099472807</v>
      </c>
      <c r="F463" s="126">
        <f ca="1"/>
        <v>7.1716331895696234E-2</v>
      </c>
    </row>
    <row r="464" spans="5:6">
      <c r="E464" s="125">
        <f ca="1"/>
        <v>1.0164010230836442</v>
      </c>
      <c r="F464" s="126">
        <f ca="1"/>
        <v>-0.49811292714093247</v>
      </c>
    </row>
    <row r="465" spans="5:6">
      <c r="E465" s="125">
        <f ca="1"/>
        <v>-1.8782591838694716E-2</v>
      </c>
      <c r="F465" s="126">
        <f ca="1"/>
        <v>0.37538290454468493</v>
      </c>
    </row>
    <row r="466" spans="5:6">
      <c r="E466" s="125">
        <f ca="1"/>
        <v>0.52966835377614285</v>
      </c>
      <c r="F466" s="126">
        <f ca="1"/>
        <v>1.1468408566904909</v>
      </c>
    </row>
    <row r="467" spans="5:6">
      <c r="E467" s="125">
        <f ca="1"/>
        <v>1.0123705132633896</v>
      </c>
      <c r="F467" s="126">
        <f ca="1"/>
        <v>0.46285001498379419</v>
      </c>
    </row>
    <row r="468" spans="5:6">
      <c r="E468" s="125">
        <f ca="1"/>
        <v>0.32970798732594658</v>
      </c>
      <c r="F468" s="126">
        <f ca="1"/>
        <v>1.5047316242064428</v>
      </c>
    </row>
    <row r="469" spans="5:6">
      <c r="E469" s="125">
        <f ca="1"/>
        <v>0.27627144305760887</v>
      </c>
      <c r="F469" s="126">
        <f ca="1"/>
        <v>-0.25389837413519384</v>
      </c>
    </row>
    <row r="470" spans="5:6">
      <c r="E470" s="125">
        <f ca="1"/>
        <v>-1.631968511684768</v>
      </c>
      <c r="F470" s="126">
        <f ca="1"/>
        <v>-0.92548309095321191</v>
      </c>
    </row>
    <row r="471" spans="5:6">
      <c r="E471" s="125">
        <f ca="1"/>
        <v>-0.2821549308531513</v>
      </c>
      <c r="F471" s="126">
        <f ca="1"/>
        <v>2.2521514060652077</v>
      </c>
    </row>
    <row r="472" spans="5:6">
      <c r="E472" s="125">
        <f ca="1"/>
        <v>-1.6858748399951016</v>
      </c>
      <c r="F472" s="126">
        <f ca="1"/>
        <v>-1.744042901438106</v>
      </c>
    </row>
    <row r="473" spans="5:6">
      <c r="E473" s="125">
        <f ca="1"/>
        <v>1.5404228050808739</v>
      </c>
      <c r="F473" s="126">
        <f ca="1"/>
        <v>-8.4164498463586757E-2</v>
      </c>
    </row>
    <row r="474" spans="5:6">
      <c r="E474" s="125">
        <f ca="1"/>
        <v>7.2794178960035844E-2</v>
      </c>
      <c r="F474" s="126">
        <f ca="1"/>
        <v>0.14144676536374715</v>
      </c>
    </row>
    <row r="475" spans="5:6">
      <c r="E475" s="125">
        <f ca="1"/>
        <v>-0.59915002942546591</v>
      </c>
      <c r="F475" s="126">
        <f ca="1"/>
        <v>-0.56714182540733793</v>
      </c>
    </row>
    <row r="476" spans="5:6">
      <c r="E476" s="125">
        <f ca="1"/>
        <v>0.78251084220922551</v>
      </c>
      <c r="F476" s="126">
        <f ca="1"/>
        <v>-0.49877450612193819</v>
      </c>
    </row>
    <row r="477" spans="5:6">
      <c r="E477" s="125">
        <f ca="1"/>
        <v>-0.18262582134128191</v>
      </c>
      <c r="F477" s="126">
        <f ca="1"/>
        <v>0.92774255991090659</v>
      </c>
    </row>
    <row r="478" spans="5:6">
      <c r="E478" s="125">
        <f ca="1"/>
        <v>0.53327350545119101</v>
      </c>
      <c r="F478" s="126">
        <f ca="1"/>
        <v>-0.17323593039458418</v>
      </c>
    </row>
    <row r="479" spans="5:6">
      <c r="E479" s="125">
        <f ca="1"/>
        <v>0.64848697873480743</v>
      </c>
      <c r="F479" s="126">
        <f ca="1"/>
        <v>-0.48292700241347458</v>
      </c>
    </row>
    <row r="480" spans="5:6">
      <c r="E480" s="125">
        <f ca="1"/>
        <v>-0.85376044926034456</v>
      </c>
      <c r="F480" s="126">
        <f ca="1"/>
        <v>0.87240768624349763</v>
      </c>
    </row>
    <row r="481" spans="5:6">
      <c r="E481" s="125">
        <f ca="1"/>
        <v>1.476767700044296</v>
      </c>
      <c r="F481" s="126">
        <f ca="1"/>
        <v>1.2322440982717167</v>
      </c>
    </row>
    <row r="482" spans="5:6">
      <c r="E482" s="125">
        <f ca="1"/>
        <v>-0.60754568754887572</v>
      </c>
      <c r="F482" s="126">
        <f ca="1"/>
        <v>-1.5917508305783479</v>
      </c>
    </row>
    <row r="483" spans="5:6">
      <c r="E483" s="125">
        <f ca="1"/>
        <v>-0.52861227075915107</v>
      </c>
      <c r="F483" s="126">
        <f ca="1"/>
        <v>-0.77853497633383961</v>
      </c>
    </row>
    <row r="484" spans="5:6">
      <c r="E484" s="125">
        <f ca="1"/>
        <v>-0.78833491323110949</v>
      </c>
      <c r="F484" s="126">
        <f ca="1"/>
        <v>-1.828510825718042</v>
      </c>
    </row>
    <row r="485" spans="5:6">
      <c r="E485" s="125">
        <f ca="1"/>
        <v>0.32088922094287226</v>
      </c>
      <c r="F485" s="126">
        <f ca="1"/>
        <v>0.93654514015143986</v>
      </c>
    </row>
    <row r="486" spans="5:6">
      <c r="E486" s="125">
        <f ca="1"/>
        <v>-0.23179933136875291</v>
      </c>
      <c r="F486" s="126">
        <f ca="1"/>
        <v>-1.1759089611656941</v>
      </c>
    </row>
    <row r="487" spans="5:6">
      <c r="E487" s="125">
        <f ca="1"/>
        <v>-1.8368854643578982</v>
      </c>
      <c r="F487" s="126">
        <f ca="1"/>
        <v>-1.4091857974208923</v>
      </c>
    </row>
    <row r="488" spans="5:6">
      <c r="E488" s="125">
        <f ca="1"/>
        <v>0.39960438985890434</v>
      </c>
      <c r="F488" s="126">
        <f ca="1"/>
        <v>0.11849138164500016</v>
      </c>
    </row>
    <row r="489" spans="5:6">
      <c r="E489" s="125">
        <f ca="1"/>
        <v>0.29787937708250284</v>
      </c>
      <c r="F489" s="126">
        <f ca="1"/>
        <v>1.050240554126503</v>
      </c>
    </row>
    <row r="490" spans="5:6">
      <c r="E490" s="125">
        <f ca="1"/>
        <v>-0.61184586763583992</v>
      </c>
      <c r="F490" s="126">
        <f ca="1"/>
        <v>-1.010748312090173</v>
      </c>
    </row>
    <row r="491" spans="5:6">
      <c r="E491" s="125">
        <f ca="1"/>
        <v>0.56835919475474372</v>
      </c>
      <c r="F491" s="126">
        <f ca="1"/>
        <v>-0.11891012601110462</v>
      </c>
    </row>
    <row r="492" spans="5:6">
      <c r="E492" s="125">
        <f ca="1"/>
        <v>-0.58152119729968532</v>
      </c>
      <c r="F492" s="126">
        <f ca="1"/>
        <v>0.85638619876212774</v>
      </c>
    </row>
    <row r="493" spans="5:6">
      <c r="E493" s="125">
        <f ca="1"/>
        <v>1.7496574241619562</v>
      </c>
      <c r="F493" s="126">
        <f ca="1"/>
        <v>0.43369922248590431</v>
      </c>
    </row>
    <row r="494" spans="5:6">
      <c r="E494" s="125">
        <f ca="1"/>
        <v>0.77818461740406419</v>
      </c>
      <c r="F494" s="126">
        <f ca="1"/>
        <v>6.5467221893422689E-2</v>
      </c>
    </row>
    <row r="495" spans="5:6">
      <c r="E495" s="125">
        <f ca="1"/>
        <v>-0.99913128278728125</v>
      </c>
      <c r="F495" s="126">
        <f ca="1"/>
        <v>0.23677585215609626</v>
      </c>
    </row>
    <row r="496" spans="5:6">
      <c r="E496" s="125">
        <f ca="1"/>
        <v>1.0455537126876344</v>
      </c>
      <c r="F496" s="126">
        <f ca="1"/>
        <v>0.28056586343024936</v>
      </c>
    </row>
    <row r="497" spans="5:6">
      <c r="E497" s="125">
        <f ca="1"/>
        <v>0.3274025177911099</v>
      </c>
      <c r="F497" s="126">
        <f ca="1"/>
        <v>0.89499354249763408</v>
      </c>
    </row>
    <row r="498" spans="5:6">
      <c r="E498" s="125">
        <f ca="1"/>
        <v>0.11918650195214993</v>
      </c>
      <c r="F498" s="126">
        <f ca="1"/>
        <v>-0.37542215822853109</v>
      </c>
    </row>
    <row r="499" spans="5:6">
      <c r="E499" s="125">
        <f ca="1"/>
        <v>0.25668394526922472</v>
      </c>
      <c r="F499" s="126">
        <f ca="1"/>
        <v>0.77770587073569142</v>
      </c>
    </row>
    <row r="500" spans="5:6">
      <c r="E500" s="125">
        <f ca="1"/>
        <v>0.59510787412768584</v>
      </c>
      <c r="F500" s="126">
        <f ca="1"/>
        <v>0.47876973610142992</v>
      </c>
    </row>
    <row r="501" spans="5:6">
      <c r="E501" s="125">
        <f ca="1"/>
        <v>1.0819883166849913</v>
      </c>
      <c r="F501" s="126">
        <f ca="1"/>
        <v>2.6990173011220975E-2</v>
      </c>
    </row>
    <row r="502" spans="5:6">
      <c r="E502" s="125">
        <f ca="1"/>
        <v>-0.16831494726574397</v>
      </c>
      <c r="F502" s="126">
        <f ca="1"/>
        <v>0.90928356158596957</v>
      </c>
    </row>
    <row r="503" spans="5:6">
      <c r="E503" s="125">
        <f ca="1"/>
        <v>0.98648201265970981</v>
      </c>
      <c r="F503" s="126">
        <f ca="1"/>
        <v>0.16150321626483649</v>
      </c>
    </row>
    <row r="504" spans="5:6">
      <c r="E504" s="125">
        <f ca="1"/>
        <v>0.91740090270899788</v>
      </c>
      <c r="F504" s="126">
        <f ca="1"/>
        <v>-0.43756813476815298</v>
      </c>
    </row>
    <row r="505" spans="5:6">
      <c r="E505" s="125">
        <f ca="1"/>
        <v>0.27009351894774897</v>
      </c>
      <c r="F505" s="126">
        <f ca="1"/>
        <v>2.5936276630742883E-2</v>
      </c>
    </row>
    <row r="506" spans="5:6">
      <c r="E506" s="125">
        <f ca="1"/>
        <v>0.93199148447996449</v>
      </c>
      <c r="F506" s="126">
        <f ca="1"/>
        <v>0.95967859517904686</v>
      </c>
    </row>
    <row r="507" spans="5:6">
      <c r="E507" s="125">
        <f ca="1"/>
        <v>1.0714782457169836</v>
      </c>
      <c r="F507" s="126">
        <f ca="1"/>
        <v>1.0893527360686601</v>
      </c>
    </row>
    <row r="508" spans="5:6">
      <c r="E508" s="125">
        <f ca="1"/>
        <v>-2.1310755486879769</v>
      </c>
      <c r="F508" s="126">
        <f ca="1"/>
        <v>-0.44328916366344673</v>
      </c>
    </row>
    <row r="509" spans="5:6">
      <c r="E509" s="125">
        <f ca="1"/>
        <v>6.6283066373473393E-2</v>
      </c>
      <c r="F509" s="126">
        <f ca="1"/>
        <v>-0.96727655927269585</v>
      </c>
    </row>
    <row r="510" spans="5:6">
      <c r="E510" s="125">
        <f ca="1"/>
        <v>0.62203390463647978</v>
      </c>
      <c r="F510" s="126">
        <f ca="1"/>
        <v>0.8634521682950288</v>
      </c>
    </row>
    <row r="511" spans="5:6">
      <c r="E511" s="125">
        <f ca="1"/>
        <v>-1.70007132492181</v>
      </c>
      <c r="F511" s="126">
        <f ca="1"/>
        <v>-0.63864207734109901</v>
      </c>
    </row>
    <row r="512" spans="5:6">
      <c r="E512" s="125">
        <f ca="1"/>
        <v>0.57467081534203923</v>
      </c>
      <c r="F512" s="126">
        <f ca="1"/>
        <v>-0.56722802724315147</v>
      </c>
    </row>
    <row r="513" spans="5:6">
      <c r="E513" s="125">
        <f ca="1"/>
        <v>-0.93994277312601715</v>
      </c>
      <c r="F513" s="126">
        <f ca="1"/>
        <v>-0.58442155470256474</v>
      </c>
    </row>
    <row r="514" spans="5:6">
      <c r="E514" s="125">
        <f ca="1"/>
        <v>0.58063681632367325</v>
      </c>
      <c r="F514" s="126">
        <f ca="1"/>
        <v>0.43404811931694409</v>
      </c>
    </row>
    <row r="515" spans="5:6">
      <c r="E515" s="125">
        <f ca="1"/>
        <v>0.52711449070637273</v>
      </c>
      <c r="F515" s="126">
        <f ca="1"/>
        <v>-1.1992493390406191</v>
      </c>
    </row>
    <row r="516" spans="5:6">
      <c r="E516" s="125">
        <f ca="1"/>
        <v>0.79287008804846304</v>
      </c>
      <c r="F516" s="126">
        <f ca="1"/>
        <v>0.59735063425632884</v>
      </c>
    </row>
    <row r="517" spans="5:6">
      <c r="E517" s="125">
        <f ca="1"/>
        <v>-0.10936686283402219</v>
      </c>
      <c r="F517" s="126">
        <f ca="1"/>
        <v>-2.9338699073440995</v>
      </c>
    </row>
    <row r="518" spans="5:6">
      <c r="E518" s="125">
        <f ca="1"/>
        <v>1.5316175819981852</v>
      </c>
      <c r="F518" s="126">
        <f ca="1"/>
        <v>-0.64742169937710126</v>
      </c>
    </row>
    <row r="519" spans="5:6">
      <c r="E519" s="125">
        <f ca="1"/>
        <v>-1.6584886700116099</v>
      </c>
      <c r="F519" s="126">
        <f ca="1"/>
        <v>-1.7831197080886771</v>
      </c>
    </row>
    <row r="520" spans="5:6">
      <c r="E520" s="125">
        <f ca="1"/>
        <v>0.40745480775865089</v>
      </c>
      <c r="F520" s="126">
        <f ca="1"/>
        <v>0.17979802934497399</v>
      </c>
    </row>
    <row r="521" spans="5:6">
      <c r="E521" s="125">
        <f ca="1"/>
        <v>-0.63808811867613024</v>
      </c>
      <c r="F521" s="126">
        <f ca="1"/>
        <v>0.53645897073776994</v>
      </c>
    </row>
    <row r="522" spans="5:6">
      <c r="E522" s="125">
        <f ca="1"/>
        <v>-0.88715442303554304</v>
      </c>
      <c r="F522" s="126">
        <f ca="1"/>
        <v>0.14171242678279494</v>
      </c>
    </row>
    <row r="523" spans="5:6">
      <c r="E523" s="125">
        <f ca="1"/>
        <v>0.51487977723489087</v>
      </c>
      <c r="F523" s="126">
        <f ca="1"/>
        <v>0.87492676475980868</v>
      </c>
    </row>
    <row r="524" spans="5:6">
      <c r="E524" s="125">
        <f ca="1"/>
        <v>0.49076983019943582</v>
      </c>
      <c r="F524" s="126">
        <f ca="1"/>
        <v>-1.2394963079768988</v>
      </c>
    </row>
    <row r="525" spans="5:6">
      <c r="E525" s="125">
        <f ca="1"/>
        <v>0.54304772347935637</v>
      </c>
      <c r="F525" s="126">
        <f ca="1"/>
        <v>0.10366342426580225</v>
      </c>
    </row>
    <row r="526" spans="5:6">
      <c r="E526" s="125">
        <f ca="1"/>
        <v>2.3412801116346875</v>
      </c>
      <c r="F526" s="126">
        <f ca="1"/>
        <v>1.3648323900478658</v>
      </c>
    </row>
    <row r="527" spans="5:6">
      <c r="E527" s="125">
        <f ca="1"/>
        <v>0.30367671889363423</v>
      </c>
      <c r="F527" s="126">
        <f ca="1"/>
        <v>1.4320355883483584</v>
      </c>
    </row>
    <row r="528" spans="5:6">
      <c r="E528" s="125">
        <f ca="1"/>
        <v>1.3681686998666871</v>
      </c>
      <c r="F528" s="126">
        <f ca="1"/>
        <v>0.91467794474626685</v>
      </c>
    </row>
    <row r="529" spans="5:6">
      <c r="E529" s="125">
        <f ca="1"/>
        <v>-1.2963494204835231</v>
      </c>
      <c r="F529" s="126">
        <f ca="1"/>
        <v>-5.1132267751327731E-2</v>
      </c>
    </row>
    <row r="530" spans="5:6">
      <c r="E530" s="125">
        <f ca="1"/>
        <v>1.1034404350665286</v>
      </c>
      <c r="F530" s="126">
        <f ca="1"/>
        <v>-0.14309068980596473</v>
      </c>
    </row>
    <row r="531" spans="5:6">
      <c r="E531" s="125">
        <f ca="1"/>
        <v>-2.2239700215606475</v>
      </c>
      <c r="F531" s="126">
        <f ca="1"/>
        <v>-1.4290415452623773</v>
      </c>
    </row>
    <row r="532" spans="5:6">
      <c r="E532" s="125">
        <f ca="1"/>
        <v>-1.6776975235025557</v>
      </c>
      <c r="F532" s="126">
        <f ca="1"/>
        <v>-2.0953500956102125</v>
      </c>
    </row>
    <row r="533" spans="5:6">
      <c r="E533" s="125">
        <f ca="1"/>
        <v>0.50571372204330467</v>
      </c>
      <c r="F533" s="126">
        <f ca="1"/>
        <v>1.1590136526244463</v>
      </c>
    </row>
    <row r="534" spans="5:6">
      <c r="E534" s="125">
        <f ca="1"/>
        <v>-2.4163268350119718</v>
      </c>
      <c r="F534" s="126">
        <f ca="1"/>
        <v>-0.8833424859789798</v>
      </c>
    </row>
    <row r="535" spans="5:6">
      <c r="E535" s="125">
        <f ca="1"/>
        <v>-0.34023578128976328</v>
      </c>
      <c r="F535" s="126">
        <f ca="1"/>
        <v>-0.72635368973223402</v>
      </c>
    </row>
    <row r="536" spans="5:6">
      <c r="E536" s="125">
        <f ca="1"/>
        <v>0.67293823244930562</v>
      </c>
      <c r="F536" s="126">
        <f ca="1"/>
        <v>1.0182986366926594</v>
      </c>
    </row>
    <row r="537" spans="5:6">
      <c r="E537" s="125">
        <f ca="1"/>
        <v>0.88664231768899004</v>
      </c>
      <c r="F537" s="126">
        <f ca="1"/>
        <v>2.4129479818193245E-2</v>
      </c>
    </row>
    <row r="538" spans="5:6">
      <c r="E538" s="125">
        <f ca="1"/>
        <v>0.62355455725873921</v>
      </c>
      <c r="F538" s="126">
        <f ca="1"/>
        <v>0.47614272234368943</v>
      </c>
    </row>
    <row r="539" spans="5:6">
      <c r="E539" s="125">
        <f ca="1"/>
        <v>1.4135536972890321</v>
      </c>
      <c r="F539" s="126">
        <f ca="1"/>
        <v>1.9285791553803044</v>
      </c>
    </row>
    <row r="540" spans="5:6">
      <c r="E540" s="125">
        <f ca="1"/>
        <v>0.54862960326667165</v>
      </c>
      <c r="F540" s="126">
        <f ca="1"/>
        <v>-0.3352056666112419</v>
      </c>
    </row>
    <row r="541" spans="5:6">
      <c r="E541" s="125">
        <f ca="1"/>
        <v>-1.808887111672864</v>
      </c>
      <c r="F541" s="126">
        <f ca="1"/>
        <v>-0.9406231768743909</v>
      </c>
    </row>
    <row r="542" spans="5:6">
      <c r="E542" s="125">
        <f ca="1"/>
        <v>-1.0065206421700699</v>
      </c>
      <c r="F542" s="126">
        <f ca="1"/>
        <v>-1.2946597670809714</v>
      </c>
    </row>
    <row r="543" spans="5:6">
      <c r="E543" s="125">
        <f ca="1"/>
        <v>-0.87970661174669629</v>
      </c>
      <c r="F543" s="126">
        <f ca="1"/>
        <v>-0.576896682986626</v>
      </c>
    </row>
    <row r="544" spans="5:6">
      <c r="E544" s="125">
        <f ca="1"/>
        <v>-1.1822859549942542</v>
      </c>
      <c r="F544" s="126">
        <f ca="1"/>
        <v>-1.5169751002994043</v>
      </c>
    </row>
    <row r="545" spans="5:6">
      <c r="E545" s="125">
        <f ca="1"/>
        <v>1.1138883659148964</v>
      </c>
      <c r="F545" s="126">
        <f ca="1"/>
        <v>0.16845814595583203</v>
      </c>
    </row>
    <row r="546" spans="5:6">
      <c r="E546" s="125">
        <f ca="1"/>
        <v>-0.99280715269201358</v>
      </c>
      <c r="F546" s="126">
        <f ca="1"/>
        <v>-0.49516683458581473</v>
      </c>
    </row>
    <row r="547" spans="5:6">
      <c r="E547" s="125">
        <f ca="1"/>
        <v>1.3052210506286146</v>
      </c>
      <c r="F547" s="126">
        <f ca="1"/>
        <v>1.582931540877627</v>
      </c>
    </row>
    <row r="548" spans="5:6">
      <c r="E548" s="125">
        <f ca="1"/>
        <v>0.92752437575258639</v>
      </c>
      <c r="F548" s="126">
        <f ca="1"/>
        <v>-0.57944147149705061</v>
      </c>
    </row>
    <row r="549" spans="5:6">
      <c r="E549" s="125">
        <f ca="1"/>
        <v>-0.19570435595384825</v>
      </c>
      <c r="F549" s="126">
        <f ca="1"/>
        <v>5.6230863377170481E-3</v>
      </c>
    </row>
    <row r="550" spans="5:6">
      <c r="E550" s="125">
        <f ca="1"/>
        <v>-0.24373509469983798</v>
      </c>
      <c r="F550" s="126">
        <f ca="1"/>
        <v>-1.4494203760893749</v>
      </c>
    </row>
    <row r="551" spans="5:6">
      <c r="E551" s="125">
        <f ca="1"/>
        <v>0.68054781050101509</v>
      </c>
      <c r="F551" s="126">
        <f ca="1"/>
        <v>0.51002723575804199</v>
      </c>
    </row>
    <row r="552" spans="5:6">
      <c r="E552" s="125">
        <f ca="1"/>
        <v>-0.91868296382385839</v>
      </c>
      <c r="F552" s="126">
        <f ca="1"/>
        <v>-1.469908050985679</v>
      </c>
    </row>
    <row r="553" spans="5:6">
      <c r="E553" s="125">
        <f ca="1"/>
        <v>-0.83992039283879549</v>
      </c>
      <c r="F553" s="126">
        <f ca="1"/>
        <v>-0.50138876272684707</v>
      </c>
    </row>
    <row r="554" spans="5:6">
      <c r="E554" s="125">
        <f ca="1"/>
        <v>0.3357127897145285</v>
      </c>
      <c r="F554" s="126">
        <f ca="1"/>
        <v>-1.0017650264760796</v>
      </c>
    </row>
    <row r="555" spans="5:6">
      <c r="E555" s="125">
        <f ca="1"/>
        <v>-0.99330728572901317</v>
      </c>
      <c r="F555" s="126">
        <f ca="1"/>
        <v>0.89973405118510152</v>
      </c>
    </row>
    <row r="556" spans="5:6">
      <c r="E556" s="125">
        <f ca="1"/>
        <v>-1.772906853495859</v>
      </c>
      <c r="F556" s="126">
        <f ca="1"/>
        <v>-0.52697996150978721</v>
      </c>
    </row>
    <row r="557" spans="5:6">
      <c r="E557" s="125">
        <f ca="1"/>
        <v>-0.57511258395991804</v>
      </c>
      <c r="F557" s="126">
        <f ca="1"/>
        <v>0.14125370872759441</v>
      </c>
    </row>
    <row r="558" spans="5:6">
      <c r="E558" s="125">
        <f ca="1"/>
        <v>-1.3159038568023889</v>
      </c>
      <c r="F558" s="126">
        <f ca="1"/>
        <v>-0.85842581540082374</v>
      </c>
    </row>
    <row r="559" spans="5:6">
      <c r="E559" s="125">
        <f ca="1"/>
        <v>-1.4281566293291261</v>
      </c>
      <c r="F559" s="126">
        <f ca="1"/>
        <v>0.27276304150472142</v>
      </c>
    </row>
    <row r="560" spans="5:6">
      <c r="E560" s="125">
        <f ca="1"/>
        <v>-1.2176005797675551</v>
      </c>
      <c r="F560" s="126">
        <f ca="1"/>
        <v>-0.28225654275411521</v>
      </c>
    </row>
    <row r="561" spans="5:6">
      <c r="E561" s="125">
        <f ca="1"/>
        <v>0.21209080988291254</v>
      </c>
      <c r="F561" s="126">
        <f ca="1"/>
        <v>-0.29325702779834589</v>
      </c>
    </row>
    <row r="562" spans="5:6">
      <c r="E562" s="125">
        <f ca="1"/>
        <v>0.49429998357602967</v>
      </c>
      <c r="F562" s="126">
        <f ca="1"/>
        <v>-6.0836995058167254E-2</v>
      </c>
    </row>
    <row r="563" spans="5:6">
      <c r="E563" s="125">
        <f ca="1"/>
        <v>-0.53283581276175473</v>
      </c>
      <c r="F563" s="126">
        <f ca="1"/>
        <v>-1.1621399725945369</v>
      </c>
    </row>
    <row r="564" spans="5:6">
      <c r="E564" s="125">
        <f ca="1"/>
        <v>0.29830790520411876</v>
      </c>
      <c r="F564" s="126">
        <f ca="1"/>
        <v>0.63803783968138061</v>
      </c>
    </row>
    <row r="565" spans="5:6">
      <c r="E565" s="125">
        <f ca="1"/>
        <v>-0.40534943554368286</v>
      </c>
      <c r="F565" s="126">
        <f ca="1"/>
        <v>-1.8090050198141161</v>
      </c>
    </row>
    <row r="566" spans="5:6">
      <c r="E566" s="125">
        <f ca="1"/>
        <v>0.18606429310036496</v>
      </c>
      <c r="F566" s="126">
        <f ca="1"/>
        <v>8.650845498931492E-2</v>
      </c>
    </row>
    <row r="567" spans="5:6">
      <c r="E567" s="125">
        <f ca="1"/>
        <v>0.70885383608893748</v>
      </c>
      <c r="F567" s="126">
        <f ca="1"/>
        <v>6.5880209854856597E-2</v>
      </c>
    </row>
    <row r="568" spans="5:6">
      <c r="E568" s="125">
        <f ca="1"/>
        <v>0.93890142260704867</v>
      </c>
      <c r="F568" s="126">
        <f ca="1"/>
        <v>1.1712479198333452</v>
      </c>
    </row>
    <row r="569" spans="5:6">
      <c r="E569" s="125">
        <f ca="1"/>
        <v>-0.16955580767934805</v>
      </c>
      <c r="F569" s="126">
        <f ca="1"/>
        <v>-1.1459574023131796</v>
      </c>
    </row>
    <row r="570" spans="5:6">
      <c r="E570" s="125">
        <f ca="1"/>
        <v>0.65814597689454402</v>
      </c>
      <c r="F570" s="126">
        <f ca="1"/>
        <v>1.830065591382229</v>
      </c>
    </row>
    <row r="571" spans="5:6">
      <c r="E571" s="125">
        <f ca="1"/>
        <v>-2.3745622684704184</v>
      </c>
      <c r="F571" s="126">
        <f ca="1"/>
        <v>-0.65552084855278669</v>
      </c>
    </row>
    <row r="572" spans="5:6">
      <c r="E572" s="125">
        <f ca="1"/>
        <v>-0.74992079320692184</v>
      </c>
      <c r="F572" s="126">
        <f ca="1"/>
        <v>-1.0191057789724607</v>
      </c>
    </row>
    <row r="573" spans="5:6">
      <c r="E573" s="125">
        <f ca="1"/>
        <v>0.45059404378993784</v>
      </c>
      <c r="F573" s="126">
        <f ca="1"/>
        <v>1.0030534968388514</v>
      </c>
    </row>
    <row r="574" spans="5:6">
      <c r="E574" s="125">
        <f ca="1"/>
        <v>-1.3538716909505515</v>
      </c>
      <c r="F574" s="126">
        <f ca="1"/>
        <v>-1.3315785799127817</v>
      </c>
    </row>
    <row r="575" spans="5:6">
      <c r="E575" s="125">
        <f ca="1"/>
        <v>-0.51512717048741752</v>
      </c>
      <c r="F575" s="126">
        <f ca="1"/>
        <v>-0.74234443625711355</v>
      </c>
    </row>
    <row r="576" spans="5:6">
      <c r="E576" s="125">
        <f ca="1"/>
        <v>2.346141208527512E-3</v>
      </c>
      <c r="F576" s="126">
        <f ca="1"/>
        <v>8.1561781541329231E-2</v>
      </c>
    </row>
    <row r="577" spans="5:6">
      <c r="E577" s="125">
        <f ca="1"/>
        <v>-0.32056864642645633</v>
      </c>
      <c r="F577" s="126">
        <f ca="1"/>
        <v>-0.31745782275268969</v>
      </c>
    </row>
    <row r="578" spans="5:6">
      <c r="E578" s="125">
        <f ca="1"/>
        <v>-0.48541273842812505</v>
      </c>
      <c r="F578" s="126">
        <f ca="1"/>
        <v>-0.63999327893318592</v>
      </c>
    </row>
    <row r="579" spans="5:6">
      <c r="E579" s="125">
        <f ca="1"/>
        <v>-0.27467842164818418</v>
      </c>
      <c r="F579" s="126">
        <f ca="1"/>
        <v>-0.13480024913036695</v>
      </c>
    </row>
    <row r="580" spans="5:6">
      <c r="E580" s="125">
        <f ca="1"/>
        <v>-0.61895365365792698</v>
      </c>
      <c r="F580" s="126">
        <f ca="1"/>
        <v>0.31869369944853032</v>
      </c>
    </row>
    <row r="581" spans="5:6">
      <c r="E581" s="125">
        <f ca="1"/>
        <v>-0.42099858688897612</v>
      </c>
      <c r="F581" s="126">
        <f ca="1"/>
        <v>0.6553113714533132</v>
      </c>
    </row>
    <row r="582" spans="5:6">
      <c r="E582" s="125">
        <f ca="1"/>
        <v>2.3669604334977962E-2</v>
      </c>
      <c r="F582" s="126">
        <f ca="1"/>
        <v>0.79903556924693653</v>
      </c>
    </row>
    <row r="583" spans="5:6">
      <c r="E583" s="125">
        <f ca="1"/>
        <v>-0.65413172199045899</v>
      </c>
      <c r="F583" s="126">
        <f ca="1"/>
        <v>-0.26844555748145604</v>
      </c>
    </row>
    <row r="584" spans="5:6">
      <c r="E584" s="125">
        <f ca="1"/>
        <v>0.52909047628311356</v>
      </c>
      <c r="F584" s="126">
        <f ca="1"/>
        <v>0.18929726149970488</v>
      </c>
    </row>
    <row r="585" spans="5:6">
      <c r="E585" s="125">
        <f ca="1"/>
        <v>-2.1349582977901185</v>
      </c>
      <c r="F585" s="126">
        <f ca="1"/>
        <v>-1.2035856666735738</v>
      </c>
    </row>
    <row r="586" spans="5:6">
      <c r="E586" s="125">
        <f ca="1"/>
        <v>1.3236115499402115</v>
      </c>
      <c r="F586" s="126">
        <f ca="1"/>
        <v>-0.78482954958799367</v>
      </c>
    </row>
    <row r="587" spans="5:6">
      <c r="E587" s="125">
        <f ca="1"/>
        <v>0.37698503060424793</v>
      </c>
      <c r="F587" s="126">
        <f ca="1"/>
        <v>-6.6473858466971458E-2</v>
      </c>
    </row>
    <row r="588" spans="5:6">
      <c r="E588" s="125">
        <f ca="1"/>
        <v>-0.1160836639570236</v>
      </c>
      <c r="F588" s="126">
        <f ca="1"/>
        <v>0.95843082244680311</v>
      </c>
    </row>
    <row r="589" spans="5:6">
      <c r="E589" s="125">
        <f ca="1"/>
        <v>0.23394400249552488</v>
      </c>
      <c r="F589" s="126">
        <f ca="1"/>
        <v>0.24867749773033535</v>
      </c>
    </row>
    <row r="590" spans="5:6">
      <c r="E590" s="125">
        <f ca="1"/>
        <v>8.3337931146245742E-2</v>
      </c>
      <c r="F590" s="126">
        <f ca="1"/>
        <v>1.1018232839702713</v>
      </c>
    </row>
    <row r="591" spans="5:6">
      <c r="E591" s="125">
        <f ca="1"/>
        <v>4.7557962215022995E-2</v>
      </c>
      <c r="F591" s="126">
        <f ca="1"/>
        <v>-3.3608504714595692E-2</v>
      </c>
    </row>
    <row r="592" spans="5:6">
      <c r="E592" s="125">
        <f ca="1"/>
        <v>0.87353851519282666</v>
      </c>
      <c r="F592" s="126">
        <f ca="1"/>
        <v>1.8303968966992954</v>
      </c>
    </row>
    <row r="593" spans="5:6">
      <c r="E593" s="125">
        <f ca="1"/>
        <v>-0.25648642773867775</v>
      </c>
      <c r="F593" s="126">
        <f ca="1"/>
        <v>0.96420751701567042</v>
      </c>
    </row>
    <row r="594" spans="5:6">
      <c r="E594" s="125">
        <f ca="1"/>
        <v>-0.28133909774973381</v>
      </c>
      <c r="F594" s="126">
        <f ca="1"/>
        <v>0.62251004116959507</v>
      </c>
    </row>
    <row r="595" spans="5:6">
      <c r="E595" s="125">
        <f ca="1"/>
        <v>2.7855582760265261</v>
      </c>
      <c r="F595" s="126">
        <f ca="1"/>
        <v>0.48553980525895302</v>
      </c>
    </row>
    <row r="596" spans="5:6">
      <c r="E596" s="125">
        <f ca="1"/>
        <v>0.65256548468871522</v>
      </c>
      <c r="F596" s="126">
        <f ca="1"/>
        <v>1.4323826449984174</v>
      </c>
    </row>
    <row r="597" spans="5:6">
      <c r="E597" s="125">
        <f ca="1"/>
        <v>1.1335059537729328</v>
      </c>
      <c r="F597" s="126">
        <f ca="1"/>
        <v>-5.17379581212426E-2</v>
      </c>
    </row>
    <row r="598" spans="5:6">
      <c r="E598" s="125">
        <f ca="1"/>
        <v>2.1677318398029177</v>
      </c>
      <c r="F598" s="126">
        <f ca="1"/>
        <v>2.5094653486863034</v>
      </c>
    </row>
    <row r="599" spans="5:6">
      <c r="E599" s="125">
        <f ca="1"/>
        <v>-0.20771792167601996</v>
      </c>
      <c r="F599" s="126">
        <f ca="1"/>
        <v>-0.94109863874275324</v>
      </c>
    </row>
    <row r="600" spans="5:6">
      <c r="E600" s="125">
        <f ca="1"/>
        <v>-0.80384816747636778</v>
      </c>
      <c r="F600" s="126">
        <f ca="1"/>
        <v>0.60442393961541119</v>
      </c>
    </row>
    <row r="601" spans="5:6">
      <c r="E601" s="125">
        <f ca="1"/>
        <v>-0.22709396730040968</v>
      </c>
      <c r="F601" s="126">
        <f ca="1"/>
        <v>-0.83544040545604326</v>
      </c>
    </row>
    <row r="602" spans="5:6">
      <c r="E602" s="125">
        <f ca="1"/>
        <v>0.19784024616249873</v>
      </c>
      <c r="F602" s="126">
        <f ca="1"/>
        <v>1.6165634397724242</v>
      </c>
    </row>
    <row r="603" spans="5:6">
      <c r="E603" s="125">
        <f ca="1"/>
        <v>0.51642378875029527</v>
      </c>
      <c r="F603" s="126">
        <f ca="1"/>
        <v>0.2712984044210201</v>
      </c>
    </row>
    <row r="604" spans="5:6">
      <c r="E604" s="125">
        <f ca="1"/>
        <v>0.5849745822475646</v>
      </c>
      <c r="F604" s="126">
        <f ca="1"/>
        <v>0.17719673780483766</v>
      </c>
    </row>
    <row r="605" spans="5:6">
      <c r="E605" s="125">
        <f ca="1"/>
        <v>-8.922179192956228E-3</v>
      </c>
      <c r="F605" s="126">
        <f ca="1"/>
        <v>1.1875210566162337</v>
      </c>
    </row>
    <row r="606" spans="5:6">
      <c r="E606" s="125">
        <f ca="1"/>
        <v>-1.1097039477077248</v>
      </c>
      <c r="F606" s="126">
        <f ca="1"/>
        <v>0.30684351962798162</v>
      </c>
    </row>
    <row r="607" spans="5:6">
      <c r="E607" s="125">
        <f ca="1"/>
        <v>1.3312568988070563</v>
      </c>
      <c r="F607" s="126">
        <f ca="1"/>
        <v>0.35245812751375716</v>
      </c>
    </row>
    <row r="608" spans="5:6">
      <c r="E608" s="125">
        <f ca="1"/>
        <v>0.88903848355515402</v>
      </c>
      <c r="F608" s="126">
        <f ca="1"/>
        <v>-0.13087930397701636</v>
      </c>
    </row>
    <row r="609" spans="5:6">
      <c r="E609" s="125">
        <f ca="1"/>
        <v>-1.1633426839551309</v>
      </c>
      <c r="F609" s="126">
        <f ca="1"/>
        <v>-0.79229156037201121</v>
      </c>
    </row>
    <row r="610" spans="5:6">
      <c r="E610" s="125">
        <f ca="1"/>
        <v>0.63447842899491647</v>
      </c>
      <c r="F610" s="126">
        <f ca="1"/>
        <v>0.97318706153948265</v>
      </c>
    </row>
    <row r="611" spans="5:6">
      <c r="E611" s="125">
        <f ca="1"/>
        <v>-3.0042403936360602E-2</v>
      </c>
      <c r="F611" s="126">
        <f ca="1"/>
        <v>-0.22470169960502892</v>
      </c>
    </row>
    <row r="612" spans="5:6">
      <c r="E612" s="125">
        <f ca="1"/>
        <v>0.65696489259749946</v>
      </c>
      <c r="F612" s="126">
        <f ca="1"/>
        <v>1.5704649624275393</v>
      </c>
    </row>
    <row r="613" spans="5:6">
      <c r="E613" s="125">
        <f ca="1"/>
        <v>0.35882324083142481</v>
      </c>
      <c r="F613" s="126">
        <f ca="1"/>
        <v>1.4281691109883916</v>
      </c>
    </row>
    <row r="614" spans="5:6">
      <c r="E614" s="125">
        <f ca="1"/>
        <v>1.0091136445186413</v>
      </c>
      <c r="F614" s="126">
        <f ca="1"/>
        <v>0.17792907849528239</v>
      </c>
    </row>
    <row r="615" spans="5:6">
      <c r="E615" s="125">
        <f ca="1"/>
        <v>0.36634260687185627</v>
      </c>
      <c r="F615" s="126">
        <f ca="1"/>
        <v>-0.1997541937506746</v>
      </c>
    </row>
    <row r="616" spans="5:6">
      <c r="E616" s="125">
        <f ca="1"/>
        <v>0.67373176346525798</v>
      </c>
      <c r="F616" s="126">
        <f ca="1"/>
        <v>-9.477482584645669E-2</v>
      </c>
    </row>
    <row r="617" spans="5:6">
      <c r="E617" s="125">
        <f ca="1"/>
        <v>1.0755921032471445</v>
      </c>
      <c r="F617" s="126">
        <f ca="1"/>
        <v>1.165533681802299</v>
      </c>
    </row>
    <row r="618" spans="5:6">
      <c r="E618" s="125">
        <f ca="1"/>
        <v>0.64678355354010419</v>
      </c>
      <c r="F618" s="126">
        <f ca="1"/>
        <v>0.86306347725540156</v>
      </c>
    </row>
    <row r="619" spans="5:6">
      <c r="E619" s="125">
        <f ca="1"/>
        <v>0.34226450270848835</v>
      </c>
      <c r="F619" s="126">
        <f ca="1"/>
        <v>0.91251140988781854</v>
      </c>
    </row>
    <row r="620" spans="5:6">
      <c r="E620" s="125">
        <f ca="1"/>
        <v>0.36355668137753389</v>
      </c>
      <c r="F620" s="126">
        <f ca="1"/>
        <v>0.822821069928802</v>
      </c>
    </row>
    <row r="621" spans="5:6">
      <c r="E621" s="125">
        <f ca="1"/>
        <v>0.85950675675927302</v>
      </c>
      <c r="F621" s="126">
        <f ca="1"/>
        <v>-0.87184119189514719</v>
      </c>
    </row>
    <row r="622" spans="5:6">
      <c r="E622" s="125">
        <f ca="1"/>
        <v>0.35772110983640232</v>
      </c>
      <c r="F622" s="126">
        <f ca="1"/>
        <v>0.107451283095616</v>
      </c>
    </row>
    <row r="623" spans="5:6">
      <c r="E623" s="125">
        <f ca="1"/>
        <v>-1.5749205377702338</v>
      </c>
      <c r="F623" s="126">
        <f ca="1"/>
        <v>0.75311667738642396</v>
      </c>
    </row>
    <row r="624" spans="5:6">
      <c r="E624" s="125">
        <f ca="1"/>
        <v>0.94571236399953085</v>
      </c>
      <c r="F624" s="126">
        <f ca="1"/>
        <v>0.72685982769756796</v>
      </c>
    </row>
    <row r="625" spans="5:6">
      <c r="E625" s="125">
        <f ca="1"/>
        <v>-0.75414777152852686</v>
      </c>
      <c r="F625" s="126">
        <f ca="1"/>
        <v>0.59215665224779457</v>
      </c>
    </row>
    <row r="626" spans="5:6">
      <c r="E626" s="125">
        <f ca="1"/>
        <v>0.97021960468023305</v>
      </c>
      <c r="F626" s="126">
        <f ca="1"/>
        <v>0.87644480029004312</v>
      </c>
    </row>
    <row r="627" spans="5:6">
      <c r="E627" s="125">
        <f ca="1"/>
        <v>0.49677948553435886</v>
      </c>
      <c r="F627" s="126">
        <f ca="1"/>
        <v>0.51193638726422341</v>
      </c>
    </row>
    <row r="628" spans="5:6">
      <c r="E628" s="125">
        <f ca="1"/>
        <v>-0.76716749546905572</v>
      </c>
      <c r="F628" s="126">
        <f ca="1"/>
        <v>-2.4371213838828369</v>
      </c>
    </row>
    <row r="629" spans="5:6">
      <c r="E629" s="125">
        <f ca="1"/>
        <v>0.86806008351821595</v>
      </c>
      <c r="F629" s="126">
        <f ca="1"/>
        <v>0.90425099723330038</v>
      </c>
    </row>
    <row r="630" spans="5:6">
      <c r="E630" s="125">
        <f ca="1"/>
        <v>0.41840801488730012</v>
      </c>
      <c r="F630" s="126">
        <f ca="1"/>
        <v>-8.0162327561206087E-2</v>
      </c>
    </row>
    <row r="631" spans="5:6">
      <c r="E631" s="125">
        <f ca="1"/>
        <v>5.7183003031015575E-2</v>
      </c>
      <c r="F631" s="126">
        <f ca="1"/>
        <v>-0.45816494183104284</v>
      </c>
    </row>
    <row r="632" spans="5:6">
      <c r="E632" s="125">
        <f ca="1"/>
        <v>-0.91834198369629816</v>
      </c>
      <c r="F632" s="126">
        <f ca="1"/>
        <v>-1.026688397064647</v>
      </c>
    </row>
    <row r="633" spans="5:6">
      <c r="E633" s="125">
        <f ca="1"/>
        <v>0.39661453094944737</v>
      </c>
      <c r="F633" s="126">
        <f ca="1"/>
        <v>-1.4061469419275099</v>
      </c>
    </row>
    <row r="634" spans="5:6">
      <c r="E634" s="125">
        <f ca="1"/>
        <v>0.92127644803521147</v>
      </c>
      <c r="F634" s="126">
        <f ca="1"/>
        <v>1.3331643699914177</v>
      </c>
    </row>
    <row r="635" spans="5:6">
      <c r="E635" s="125">
        <f ca="1"/>
        <v>1.3193650152388889</v>
      </c>
      <c r="F635" s="126">
        <f ca="1"/>
        <v>0.27686982872269789</v>
      </c>
    </row>
    <row r="636" spans="5:6">
      <c r="E636" s="125">
        <f ca="1"/>
        <v>-1.8545487079217677</v>
      </c>
      <c r="F636" s="126">
        <f ca="1"/>
        <v>-1.5941190364041433</v>
      </c>
    </row>
    <row r="637" spans="5:6">
      <c r="E637" s="125">
        <f ca="1"/>
        <v>-0.11261678514945145</v>
      </c>
      <c r="F637" s="126">
        <f ca="1"/>
        <v>-0.32108962462141466</v>
      </c>
    </row>
    <row r="638" spans="5:6">
      <c r="E638" s="125">
        <f ca="1"/>
        <v>-1.821751521077553</v>
      </c>
      <c r="F638" s="126">
        <f ca="1"/>
        <v>0.89687640659927204</v>
      </c>
    </row>
    <row r="639" spans="5:6">
      <c r="E639" s="125">
        <f ca="1"/>
        <v>-0.67974404914497155</v>
      </c>
      <c r="F639" s="126">
        <f ca="1"/>
        <v>1.1006637552944893</v>
      </c>
    </row>
    <row r="640" spans="5:6">
      <c r="E640" s="125">
        <f ca="1"/>
        <v>-2.0656730486305879</v>
      </c>
      <c r="F640" s="126">
        <f ca="1"/>
        <v>1.2661813656590795</v>
      </c>
    </row>
    <row r="641" spans="5:6">
      <c r="E641" s="125">
        <f ca="1"/>
        <v>0.20033802798598627</v>
      </c>
      <c r="F641" s="126">
        <f ca="1"/>
        <v>1.1271334417022656</v>
      </c>
    </row>
    <row r="642" spans="5:6">
      <c r="E642" s="125">
        <f ca="1"/>
        <v>0.3734156545682677</v>
      </c>
      <c r="F642" s="126">
        <f ca="1"/>
        <v>0.41352805665766812</v>
      </c>
    </row>
    <row r="643" spans="5:6">
      <c r="E643" s="125">
        <f ca="1"/>
        <v>0.23135284241091444</v>
      </c>
      <c r="F643" s="126">
        <f ca="1"/>
        <v>1.7650983943787064</v>
      </c>
    </row>
    <row r="644" spans="5:6">
      <c r="E644" s="125">
        <f ca="1"/>
        <v>7.9432059529035398E-2</v>
      </c>
      <c r="F644" s="126">
        <f ca="1"/>
        <v>-0.73284186315632482</v>
      </c>
    </row>
    <row r="645" spans="5:6">
      <c r="E645" s="125">
        <f ca="1"/>
        <v>-0.70498881488455245</v>
      </c>
      <c r="F645" s="126">
        <f ca="1"/>
        <v>0.34030889500404249</v>
      </c>
    </row>
    <row r="646" spans="5:6">
      <c r="E646" s="125">
        <f ca="1"/>
        <v>-1.9179098099513487</v>
      </c>
      <c r="F646" s="126">
        <f ca="1"/>
        <v>-0.8869434108019324</v>
      </c>
    </row>
    <row r="647" spans="5:6">
      <c r="E647" s="125">
        <f ca="1"/>
        <v>0.13119073115176408</v>
      </c>
      <c r="F647" s="126">
        <f ca="1"/>
        <v>7.2102835418863767E-2</v>
      </c>
    </row>
    <row r="648" spans="5:6">
      <c r="E648" s="125">
        <f ca="1"/>
        <v>-1.9358567139682981</v>
      </c>
      <c r="F648" s="126">
        <f ca="1"/>
        <v>1.0402191886688068</v>
      </c>
    </row>
    <row r="649" spans="5:6">
      <c r="E649" s="125">
        <f ca="1"/>
        <v>-0.23633259796979214</v>
      </c>
      <c r="F649" s="126">
        <f ca="1"/>
        <v>0.75988717348832158</v>
      </c>
    </row>
    <row r="650" spans="5:6">
      <c r="E650" s="125">
        <f ca="1"/>
        <v>0.66721366656468262</v>
      </c>
      <c r="F650" s="126">
        <f ca="1"/>
        <v>1.9730810444561708E-2</v>
      </c>
    </row>
    <row r="651" spans="5:6">
      <c r="E651" s="125">
        <f ca="1"/>
        <v>0.36726728991126817</v>
      </c>
      <c r="F651" s="126">
        <f ca="1"/>
        <v>0.62231435496864718</v>
      </c>
    </row>
    <row r="652" spans="5:6">
      <c r="E652" s="125">
        <f ca="1"/>
        <v>0.67039238190146622</v>
      </c>
      <c r="F652" s="126">
        <f ca="1"/>
        <v>-0.47538140652588662</v>
      </c>
    </row>
    <row r="653" spans="5:6">
      <c r="E653" s="125">
        <f ca="1"/>
        <v>0.33637730279307904</v>
      </c>
      <c r="F653" s="126">
        <f ca="1"/>
        <v>0.87956769978268345</v>
      </c>
    </row>
    <row r="654" spans="5:6">
      <c r="E654" s="125">
        <f ca="1"/>
        <v>-0.73417441449581999</v>
      </c>
      <c r="F654" s="126">
        <f ca="1"/>
        <v>0.56531720575405464</v>
      </c>
    </row>
    <row r="655" spans="5:6">
      <c r="E655" s="125">
        <f ca="1"/>
        <v>-0.499141935326328</v>
      </c>
      <c r="F655" s="126">
        <f ca="1"/>
        <v>-1.7140881163327487E-2</v>
      </c>
    </row>
    <row r="656" spans="5:6">
      <c r="E656" s="125">
        <f ca="1"/>
        <v>0.78757740390485687</v>
      </c>
      <c r="F656" s="126">
        <f ca="1"/>
        <v>1.1591314757662581</v>
      </c>
    </row>
    <row r="657" spans="5:6">
      <c r="E657" s="125">
        <f ca="1"/>
        <v>-1.6124967139573227</v>
      </c>
      <c r="F657" s="126">
        <f ca="1"/>
        <v>-1.6454975205302391</v>
      </c>
    </row>
    <row r="658" spans="5:6">
      <c r="E658" s="125">
        <f ca="1"/>
        <v>1.0120289991290257</v>
      </c>
      <c r="F658" s="126">
        <f ca="1"/>
        <v>-2.2175065344089488</v>
      </c>
    </row>
    <row r="659" spans="5:6">
      <c r="E659" s="125">
        <f ca="1"/>
        <v>-0.39126788739116197</v>
      </c>
      <c r="F659" s="126">
        <f ca="1"/>
        <v>-1.7517223339358565</v>
      </c>
    </row>
    <row r="660" spans="5:6">
      <c r="E660" s="125">
        <f ca="1"/>
        <v>0.95603674142959982</v>
      </c>
      <c r="F660" s="126">
        <f ca="1"/>
        <v>0.22610364115217585</v>
      </c>
    </row>
    <row r="661" spans="5:6">
      <c r="E661" s="125">
        <f ca="1"/>
        <v>-0.45498955255905987</v>
      </c>
      <c r="F661" s="126">
        <f ca="1"/>
        <v>0.75221278530457647</v>
      </c>
    </row>
    <row r="662" spans="5:6">
      <c r="E662" s="125">
        <f ca="1"/>
        <v>0.13856466382059041</v>
      </c>
      <c r="F662" s="126">
        <f ca="1"/>
        <v>0.74252663078900261</v>
      </c>
    </row>
    <row r="663" spans="5:6">
      <c r="E663" s="125">
        <f ca="1"/>
        <v>-0.81625182522560191</v>
      </c>
      <c r="F663" s="126">
        <f ca="1"/>
        <v>0.21996431286004803</v>
      </c>
    </row>
    <row r="664" spans="5:6">
      <c r="E664" s="125">
        <f ca="1"/>
        <v>0.50097083796694597</v>
      </c>
      <c r="F664" s="126">
        <f ca="1"/>
        <v>0.15877684438022252</v>
      </c>
    </row>
    <row r="665" spans="5:6">
      <c r="E665" s="125">
        <f ca="1"/>
        <v>0.61667177523241024</v>
      </c>
      <c r="F665" s="126">
        <f ca="1"/>
        <v>-1.1974522096604709</v>
      </c>
    </row>
    <row r="666" spans="5:6">
      <c r="E666" s="125">
        <f ca="1"/>
        <v>0.74571344593257649</v>
      </c>
      <c r="F666" s="126">
        <f ca="1"/>
        <v>0.79970331221306579</v>
      </c>
    </row>
    <row r="667" spans="5:6">
      <c r="E667" s="125">
        <f ca="1"/>
        <v>-7.0320070415996999E-2</v>
      </c>
      <c r="F667" s="126">
        <f ca="1"/>
        <v>-0.34534414836041882</v>
      </c>
    </row>
    <row r="668" spans="5:6">
      <c r="E668" s="125">
        <f ca="1"/>
        <v>0.6394791306955232</v>
      </c>
      <c r="F668" s="126">
        <f ca="1"/>
        <v>1.2445636681077465</v>
      </c>
    </row>
    <row r="669" spans="5:6">
      <c r="E669" s="125">
        <f ca="1"/>
        <v>0.32990704452931047</v>
      </c>
      <c r="F669" s="126">
        <f ca="1"/>
        <v>0.45470837147766607</v>
      </c>
    </row>
    <row r="670" spans="5:6">
      <c r="E670" s="125">
        <f ca="1"/>
        <v>-0.2350904842640453</v>
      </c>
      <c r="F670" s="126">
        <f ca="1"/>
        <v>0.15301608670402328</v>
      </c>
    </row>
    <row r="671" spans="5:6">
      <c r="E671" s="125">
        <f ca="1"/>
        <v>1.2364075964552455</v>
      </c>
      <c r="F671" s="126">
        <f ca="1"/>
        <v>0.14959259028871569</v>
      </c>
    </row>
    <row r="672" spans="5:6">
      <c r="E672" s="125">
        <f ca="1"/>
        <v>0.44360049594080414</v>
      </c>
      <c r="F672" s="126">
        <f ca="1"/>
        <v>0.84555804053855899</v>
      </c>
    </row>
    <row r="673" spans="5:6">
      <c r="E673" s="125">
        <f ca="1"/>
        <v>0.1199568799870797</v>
      </c>
      <c r="F673" s="126">
        <f ca="1"/>
        <v>0.10158957799184373</v>
      </c>
    </row>
    <row r="674" spans="5:6">
      <c r="E674" s="125">
        <f ca="1"/>
        <v>0.51558225295403004</v>
      </c>
      <c r="F674" s="126">
        <f ca="1"/>
        <v>0.55188827268096396</v>
      </c>
    </row>
    <row r="675" spans="5:6">
      <c r="E675" s="125">
        <f ca="1"/>
        <v>0.21664179465650021</v>
      </c>
      <c r="F675" s="126">
        <f ca="1"/>
        <v>0.7999915123049347</v>
      </c>
    </row>
    <row r="676" spans="5:6">
      <c r="E676" s="125">
        <f ca="1"/>
        <v>0.89671214306086222</v>
      </c>
      <c r="F676" s="126">
        <f ca="1"/>
        <v>-1.0937368574540913</v>
      </c>
    </row>
    <row r="677" spans="5:6">
      <c r="E677" s="125">
        <f ca="1"/>
        <v>-0.45097084511433105</v>
      </c>
      <c r="F677" s="126">
        <f ca="1"/>
        <v>-0.19746876260281199</v>
      </c>
    </row>
    <row r="678" spans="5:6">
      <c r="E678" s="125">
        <f ca="1"/>
        <v>-0.38713320184250749</v>
      </c>
      <c r="F678" s="126">
        <f ca="1"/>
        <v>-0.79912696049559861</v>
      </c>
    </row>
    <row r="679" spans="5:6">
      <c r="E679" s="125">
        <f ca="1"/>
        <v>-1.7524732631198998</v>
      </c>
      <c r="F679" s="126">
        <f ca="1"/>
        <v>-1.2999065925448989</v>
      </c>
    </row>
    <row r="680" spans="5:6">
      <c r="E680" s="125">
        <f ca="1"/>
        <v>5.9508977920886649E-2</v>
      </c>
      <c r="F680" s="126">
        <f ca="1"/>
        <v>0.4894884041731698</v>
      </c>
    </row>
    <row r="681" spans="5:6">
      <c r="E681" s="125">
        <f ca="1"/>
        <v>-0.79035738971277736</v>
      </c>
      <c r="F681" s="126">
        <f ca="1"/>
        <v>0.99895253755351376</v>
      </c>
    </row>
    <row r="682" spans="5:6">
      <c r="E682" s="125">
        <f ca="1"/>
        <v>-0.87129314665263657</v>
      </c>
      <c r="F682" s="126">
        <f ca="1"/>
        <v>-1.5497848129095315</v>
      </c>
    </row>
    <row r="683" spans="5:6">
      <c r="E683" s="125">
        <f ca="1"/>
        <v>-0.89091058747774865</v>
      </c>
      <c r="F683" s="126">
        <f ca="1"/>
        <v>8.7736954960789204E-2</v>
      </c>
    </row>
    <row r="684" spans="5:6">
      <c r="E684" s="125">
        <f ca="1"/>
        <v>-0.66681594628989771</v>
      </c>
      <c r="F684" s="126">
        <f ca="1"/>
        <v>0.3839194351078844</v>
      </c>
    </row>
    <row r="685" spans="5:6">
      <c r="E685" s="125">
        <f ca="1"/>
        <v>0.10624491263153957</v>
      </c>
      <c r="F685" s="126">
        <f ca="1"/>
        <v>-2.5204315552371654</v>
      </c>
    </row>
    <row r="686" spans="5:6">
      <c r="E686" s="125">
        <f ca="1"/>
        <v>0.10411860721996559</v>
      </c>
      <c r="F686" s="126">
        <f ca="1"/>
        <v>-0.75425644155313998</v>
      </c>
    </row>
    <row r="687" spans="5:6">
      <c r="E687" s="125">
        <f ca="1"/>
        <v>-0.32768291384012022</v>
      </c>
      <c r="F687" s="126">
        <f ca="1"/>
        <v>7.0215086860729026E-3</v>
      </c>
    </row>
    <row r="688" spans="5:6">
      <c r="E688" s="125">
        <f ca="1"/>
        <v>-0.52009497805568194</v>
      </c>
      <c r="F688" s="126">
        <f ca="1"/>
        <v>-2.1595137612390172</v>
      </c>
    </row>
    <row r="689" spans="5:6">
      <c r="E689" s="125">
        <f ca="1"/>
        <v>0.14302862334198838</v>
      </c>
      <c r="F689" s="126">
        <f ca="1"/>
        <v>-0.71214000312006143</v>
      </c>
    </row>
    <row r="690" spans="5:6">
      <c r="E690" s="125">
        <f ca="1"/>
        <v>0.37191885261550306</v>
      </c>
      <c r="F690" s="126">
        <f ca="1"/>
        <v>0.21481994754934097</v>
      </c>
    </row>
    <row r="691" spans="5:6">
      <c r="E691" s="125">
        <f ca="1"/>
        <v>-0.18768333209570695</v>
      </c>
      <c r="F691" s="126">
        <f ca="1"/>
        <v>-1.1555630706649291</v>
      </c>
    </row>
    <row r="692" spans="5:6">
      <c r="E692" s="125">
        <f ca="1"/>
        <v>-1.655594557462897</v>
      </c>
      <c r="F692" s="126">
        <f ca="1"/>
        <v>-0.76656376216726785</v>
      </c>
    </row>
    <row r="693" spans="5:6">
      <c r="E693" s="125">
        <f ca="1"/>
        <v>0.62761761999732901</v>
      </c>
      <c r="F693" s="126">
        <f ca="1"/>
        <v>-0.73097393890505447</v>
      </c>
    </row>
    <row r="694" spans="5:6">
      <c r="E694" s="125">
        <f ca="1"/>
        <v>-1.2298426523965771</v>
      </c>
      <c r="F694" s="126">
        <f ca="1"/>
        <v>-0.65796620560440355</v>
      </c>
    </row>
    <row r="695" spans="5:6">
      <c r="E695" s="125">
        <f ca="1"/>
        <v>-1.8164118834802758</v>
      </c>
      <c r="F695" s="126">
        <f ca="1"/>
        <v>-0.6613330995100728</v>
      </c>
    </row>
    <row r="696" spans="5:6">
      <c r="E696" s="125">
        <f ca="1"/>
        <v>0.69885054404216584</v>
      </c>
      <c r="F696" s="126">
        <f ca="1"/>
        <v>-0.23598208838295892</v>
      </c>
    </row>
    <row r="697" spans="5:6">
      <c r="E697" s="125">
        <f ca="1"/>
        <v>-0.31963333093881202</v>
      </c>
      <c r="F697" s="126">
        <f ca="1"/>
        <v>-0.17750148960744727</v>
      </c>
    </row>
    <row r="698" spans="5:6">
      <c r="E698" s="125">
        <f ca="1"/>
        <v>-0.14374047793981301</v>
      </c>
      <c r="F698" s="126">
        <f ca="1"/>
        <v>-1.040724283686663</v>
      </c>
    </row>
    <row r="699" spans="5:6">
      <c r="E699" s="125">
        <f ca="1"/>
        <v>-1.5615231796655122</v>
      </c>
      <c r="F699" s="126">
        <f ca="1"/>
        <v>-1.5640959540036601</v>
      </c>
    </row>
    <row r="700" spans="5:6">
      <c r="E700" s="125">
        <f ca="1"/>
        <v>1.8764620394916647</v>
      </c>
      <c r="F700" s="126">
        <f ca="1"/>
        <v>0.80492422168931566</v>
      </c>
    </row>
    <row r="701" spans="5:6">
      <c r="E701" s="125">
        <f ca="1"/>
        <v>0.482305940058461</v>
      </c>
      <c r="F701" s="126">
        <f ca="1"/>
        <v>0.88194275940594169</v>
      </c>
    </row>
    <row r="702" spans="5:6">
      <c r="E702" s="125">
        <f ca="1"/>
        <v>-1.1624067715601167</v>
      </c>
      <c r="F702" s="126">
        <f ca="1"/>
        <v>-1.4273468963304108</v>
      </c>
    </row>
    <row r="703" spans="5:6">
      <c r="E703" s="125">
        <f ca="1"/>
        <v>0.51182524772479943</v>
      </c>
      <c r="F703" s="126">
        <f ca="1"/>
        <v>0.13207905463591821</v>
      </c>
    </row>
    <row r="704" spans="5:6">
      <c r="E704" s="125">
        <f ca="1"/>
        <v>-0.36428225544888965</v>
      </c>
      <c r="F704" s="126">
        <f ca="1"/>
        <v>-2.3135509873430662</v>
      </c>
    </row>
    <row r="705" spans="5:6">
      <c r="E705" s="125">
        <f ca="1"/>
        <v>0.93789088354296912</v>
      </c>
      <c r="F705" s="126">
        <f ca="1"/>
        <v>0.23611730549951548</v>
      </c>
    </row>
    <row r="706" spans="5:6">
      <c r="E706" s="125">
        <f ca="1"/>
        <v>1.4289849366758101</v>
      </c>
      <c r="F706" s="126">
        <f ca="1"/>
        <v>1.903258448405734</v>
      </c>
    </row>
    <row r="707" spans="5:6">
      <c r="E707" s="125">
        <f ca="1"/>
        <v>-0.68880042528221042</v>
      </c>
      <c r="F707" s="126">
        <f ca="1"/>
        <v>-1.2698580363166738</v>
      </c>
    </row>
    <row r="708" spans="5:6">
      <c r="E708" s="125">
        <f ca="1"/>
        <v>0.97764472426192472</v>
      </c>
      <c r="F708" s="126">
        <f ca="1"/>
        <v>0.30277175220695463</v>
      </c>
    </row>
    <row r="709" spans="5:6">
      <c r="E709" s="125">
        <f ca="1"/>
        <v>0.34896917904497327</v>
      </c>
      <c r="F709" s="126">
        <f ca="1"/>
        <v>-0.38223106537671631</v>
      </c>
    </row>
    <row r="710" spans="5:6">
      <c r="E710" s="125">
        <f ca="1"/>
        <v>2.0172329913293359</v>
      </c>
      <c r="F710" s="126">
        <f ca="1"/>
        <v>2.1537128315014842</v>
      </c>
    </row>
    <row r="711" spans="5:6">
      <c r="E711" s="125">
        <f ca="1"/>
        <v>-0.92093321686615026</v>
      </c>
      <c r="F711" s="126">
        <f ca="1"/>
        <v>-0.7396980089736116</v>
      </c>
    </row>
    <row r="712" spans="5:6">
      <c r="E712" s="125">
        <f ca="1"/>
        <v>-0.85765813806681723</v>
      </c>
      <c r="F712" s="126">
        <f ca="1"/>
        <v>-0.26789427625867535</v>
      </c>
    </row>
    <row r="713" spans="5:6">
      <c r="E713" s="125">
        <f ca="1"/>
        <v>-0.409172751824599</v>
      </c>
      <c r="F713" s="126">
        <f ca="1"/>
        <v>-1.1551360213279163</v>
      </c>
    </row>
    <row r="714" spans="5:6">
      <c r="E714" s="125">
        <f ca="1"/>
        <v>-0.36017582771749446</v>
      </c>
      <c r="F714" s="126">
        <f ca="1"/>
        <v>-0.4893143447106354</v>
      </c>
    </row>
    <row r="715" spans="5:6">
      <c r="E715" s="125">
        <f ca="1"/>
        <v>-0.62360926598782229</v>
      </c>
      <c r="F715" s="126">
        <f ca="1"/>
        <v>-0.77143373190472753</v>
      </c>
    </row>
    <row r="716" spans="5:6">
      <c r="E716" s="125">
        <f ca="1"/>
        <v>0.37247588722079356</v>
      </c>
      <c r="F716" s="126">
        <f ca="1"/>
        <v>0.4396157026926748</v>
      </c>
    </row>
    <row r="717" spans="5:6">
      <c r="E717" s="125">
        <f ca="1"/>
        <v>-2.1125856404373629</v>
      </c>
      <c r="F717" s="126">
        <f ca="1"/>
        <v>-1.5761859508585505</v>
      </c>
    </row>
    <row r="718" spans="5:6">
      <c r="E718" s="125">
        <f ca="1"/>
        <v>-0.59156631753968525</v>
      </c>
      <c r="F718" s="126">
        <f ca="1"/>
        <v>0.7096963108300095</v>
      </c>
    </row>
    <row r="719" spans="5:6">
      <c r="E719" s="125">
        <f ca="1"/>
        <v>-0.53894631358487199</v>
      </c>
      <c r="F719" s="126">
        <f ca="1"/>
        <v>1.1813376603987651</v>
      </c>
    </row>
    <row r="720" spans="5:6">
      <c r="E720" s="125">
        <f ca="1"/>
        <v>-1.675854024937637</v>
      </c>
      <c r="F720" s="126">
        <f ca="1"/>
        <v>-1.637228937411656</v>
      </c>
    </row>
    <row r="721" spans="5:6">
      <c r="E721" s="125">
        <f ca="1"/>
        <v>0.43983770849369375</v>
      </c>
      <c r="F721" s="126">
        <f ca="1"/>
        <v>-0.35218192894780709</v>
      </c>
    </row>
    <row r="722" spans="5:6">
      <c r="E722" s="125">
        <f ca="1"/>
        <v>0.20589115095821617</v>
      </c>
      <c r="F722" s="126">
        <f ca="1"/>
        <v>-0.48960180478224891</v>
      </c>
    </row>
    <row r="723" spans="5:6">
      <c r="E723" s="125">
        <f ca="1"/>
        <v>-0.5165674054149284</v>
      </c>
      <c r="F723" s="126">
        <f ca="1"/>
        <v>-0.10275256469030003</v>
      </c>
    </row>
    <row r="724" spans="5:6">
      <c r="E724" s="125">
        <f ca="1"/>
        <v>-0.88659415807965947</v>
      </c>
      <c r="F724" s="126">
        <f ca="1"/>
        <v>-0.4994768938677141</v>
      </c>
    </row>
    <row r="725" spans="5:6">
      <c r="E725" s="125">
        <f ca="1"/>
        <v>-8.2201345688349678E-2</v>
      </c>
      <c r="F725" s="126">
        <f ca="1"/>
        <v>1.3927362144984132</v>
      </c>
    </row>
    <row r="726" spans="5:6">
      <c r="E726" s="125">
        <f ca="1"/>
        <v>0.80410462296080021</v>
      </c>
      <c r="F726" s="126">
        <f ca="1"/>
        <v>-0.25851847549315243</v>
      </c>
    </row>
    <row r="727" spans="5:6">
      <c r="E727" s="125">
        <f ca="1"/>
        <v>-0.29760529237507038</v>
      </c>
      <c r="F727" s="126">
        <f ca="1"/>
        <v>0.38915471064444901</v>
      </c>
    </row>
    <row r="728" spans="5:6">
      <c r="E728" s="125">
        <f ca="1"/>
        <v>-0.30456253197054955</v>
      </c>
      <c r="F728" s="126">
        <f ca="1"/>
        <v>-0.15958800929359762</v>
      </c>
    </row>
    <row r="729" spans="5:6">
      <c r="E729" s="125">
        <f ca="1"/>
        <v>-2.4223824488222339</v>
      </c>
      <c r="F729" s="126">
        <f ca="1"/>
        <v>-1.4483041215113652</v>
      </c>
    </row>
    <row r="730" spans="5:6">
      <c r="E730" s="125">
        <f ca="1"/>
        <v>-0.44970274160968715</v>
      </c>
      <c r="F730" s="126">
        <f ca="1"/>
        <v>-0.41787378552392668</v>
      </c>
    </row>
    <row r="731" spans="5:6">
      <c r="E731" s="125">
        <f ca="1"/>
        <v>-0.65974818584653061</v>
      </c>
      <c r="F731" s="126">
        <f ca="1"/>
        <v>-1.4168503626872664E-2</v>
      </c>
    </row>
    <row r="732" spans="5:6">
      <c r="E732" s="125">
        <f ca="1"/>
        <v>0.38884162041133297</v>
      </c>
      <c r="F732" s="126">
        <f ca="1"/>
        <v>-0.17376773860693528</v>
      </c>
    </row>
    <row r="733" spans="5:6">
      <c r="E733" s="125">
        <f ca="1"/>
        <v>0.94380921267153084</v>
      </c>
      <c r="F733" s="126">
        <f ca="1"/>
        <v>0.49763567807569159</v>
      </c>
    </row>
    <row r="734" spans="5:6">
      <c r="E734" s="125">
        <f ca="1"/>
        <v>0.31806139923398924</v>
      </c>
      <c r="F734" s="126">
        <f ca="1"/>
        <v>-9.09808333981173E-2</v>
      </c>
    </row>
    <row r="735" spans="5:6">
      <c r="E735" s="125">
        <f ca="1"/>
        <v>0.46668934218825903</v>
      </c>
      <c r="F735" s="126">
        <f ca="1"/>
        <v>1.8463265345592478E-2</v>
      </c>
    </row>
    <row r="736" spans="5:6">
      <c r="E736" s="125">
        <f ca="1"/>
        <v>-0.49138873058696908</v>
      </c>
      <c r="F736" s="126">
        <f ca="1"/>
        <v>1.9915928210327243</v>
      </c>
    </row>
    <row r="737" spans="5:6">
      <c r="E737" s="125">
        <f ca="1"/>
        <v>0.4672388376987438</v>
      </c>
      <c r="F737" s="126">
        <f ca="1"/>
        <v>0.59931136086783432</v>
      </c>
    </row>
    <row r="738" spans="5:6">
      <c r="E738" s="125">
        <f ca="1"/>
        <v>0.66797771263163352</v>
      </c>
      <c r="F738" s="126">
        <f ca="1"/>
        <v>0.3280968042844104</v>
      </c>
    </row>
    <row r="739" spans="5:6">
      <c r="E739" s="125">
        <f ca="1"/>
        <v>-0.85331049520578028</v>
      </c>
      <c r="F739" s="126">
        <f ca="1"/>
        <v>-0.86702124078749154</v>
      </c>
    </row>
    <row r="740" spans="5:6">
      <c r="E740" s="125">
        <f ca="1"/>
        <v>-0.24509754674739209</v>
      </c>
      <c r="F740" s="126">
        <f ca="1"/>
        <v>-1.5939635438719062</v>
      </c>
    </row>
    <row r="741" spans="5:6">
      <c r="E741" s="125">
        <f ca="1"/>
        <v>1.6006743809195825</v>
      </c>
      <c r="F741" s="126">
        <f ca="1"/>
        <v>1.0867000724200897</v>
      </c>
    </row>
    <row r="742" spans="5:6">
      <c r="E742" s="125">
        <f ca="1"/>
        <v>0.72236595540749882</v>
      </c>
      <c r="F742" s="126">
        <f ca="1"/>
        <v>2.8945384689194991</v>
      </c>
    </row>
    <row r="743" spans="5:6">
      <c r="E743" s="125">
        <f ca="1"/>
        <v>-1.4658548931423838</v>
      </c>
      <c r="F743" s="126">
        <f ca="1"/>
        <v>-2.0922221008060129</v>
      </c>
    </row>
    <row r="744" spans="5:6">
      <c r="E744" s="125">
        <f ca="1"/>
        <v>-1.7037069345371143</v>
      </c>
      <c r="F744" s="126">
        <f ca="1"/>
        <v>-8.3418938389348218E-2</v>
      </c>
    </row>
    <row r="745" spans="5:6">
      <c r="E745" s="125">
        <f ca="1"/>
        <v>-0.67114715330603636</v>
      </c>
      <c r="F745" s="126">
        <f ca="1"/>
        <v>-1.8622002998030702</v>
      </c>
    </row>
    <row r="746" spans="5:6">
      <c r="E746" s="125">
        <f ca="1"/>
        <v>1.3398182621243213</v>
      </c>
      <c r="F746" s="126">
        <f ca="1"/>
        <v>0.27388476500841574</v>
      </c>
    </row>
    <row r="747" spans="5:6">
      <c r="E747" s="125">
        <f ca="1"/>
        <v>1.4783601617840056</v>
      </c>
      <c r="F747" s="126">
        <f ca="1"/>
        <v>3.8023218504483758E-2</v>
      </c>
    </row>
    <row r="748" spans="5:6">
      <c r="E748" s="125">
        <f ca="1"/>
        <v>0.3755201863980544</v>
      </c>
      <c r="F748" s="126">
        <f ca="1"/>
        <v>1.9762701171044228E-2</v>
      </c>
    </row>
    <row r="749" spans="5:6">
      <c r="E749" s="125">
        <f ca="1"/>
        <v>-0.43689625480821592</v>
      </c>
      <c r="F749" s="126">
        <f ca="1"/>
        <v>-1.1437531952406264</v>
      </c>
    </row>
    <row r="750" spans="5:6">
      <c r="E750" s="125">
        <f ca="1"/>
        <v>-0.11901485316321511</v>
      </c>
      <c r="F750" s="126">
        <f ca="1"/>
        <v>0.49327812169979479</v>
      </c>
    </row>
    <row r="751" spans="5:6">
      <c r="E751" s="125">
        <f ca="1"/>
        <v>-0.5047413926978348</v>
      </c>
      <c r="F751" s="126">
        <f ca="1"/>
        <v>-0.13620481961893172</v>
      </c>
    </row>
    <row r="752" spans="5:6">
      <c r="E752" s="125">
        <f ca="1"/>
        <v>-2.0132325058297211</v>
      </c>
      <c r="F752" s="126">
        <f ca="1"/>
        <v>-1.3527428623088</v>
      </c>
    </row>
    <row r="753" spans="5:6">
      <c r="E753" s="125">
        <f ca="1"/>
        <v>-1.9317712641675995</v>
      </c>
      <c r="F753" s="126">
        <f ca="1"/>
        <v>-2.3829018558136426</v>
      </c>
    </row>
    <row r="754" spans="5:6">
      <c r="E754" s="125">
        <f ca="1"/>
        <v>-0.81052345347640753</v>
      </c>
      <c r="F754" s="126">
        <f ca="1"/>
        <v>-0.57163982338454322</v>
      </c>
    </row>
    <row r="755" spans="5:6">
      <c r="E755" s="125">
        <f ca="1"/>
        <v>-0.6600230342112875</v>
      </c>
      <c r="F755" s="126">
        <f ca="1"/>
        <v>0.78729918684985045</v>
      </c>
    </row>
    <row r="756" spans="5:6">
      <c r="E756" s="125">
        <f ca="1"/>
        <v>0.28790735796397721</v>
      </c>
      <c r="F756" s="126">
        <f ca="1"/>
        <v>-0.18933826138829044</v>
      </c>
    </row>
    <row r="757" spans="5:6">
      <c r="E757" s="125">
        <f ca="1"/>
        <v>1.2298529729089034</v>
      </c>
      <c r="F757" s="126">
        <f ca="1"/>
        <v>-1.0616133714433997</v>
      </c>
    </row>
    <row r="758" spans="5:6">
      <c r="E758" s="125">
        <f ca="1"/>
        <v>1.4614649768219821</v>
      </c>
      <c r="F758" s="126">
        <f ca="1"/>
        <v>0.64344227706023482</v>
      </c>
    </row>
    <row r="759" spans="5:6">
      <c r="E759" s="125">
        <f ca="1"/>
        <v>0.11569858570861982</v>
      </c>
      <c r="F759" s="126">
        <f ca="1"/>
        <v>0.93709511093866615</v>
      </c>
    </row>
    <row r="760" spans="5:6">
      <c r="E760" s="125">
        <f ca="1"/>
        <v>0.26436061114567871</v>
      </c>
      <c r="F760" s="126">
        <f ca="1"/>
        <v>0.1990994079847089</v>
      </c>
    </row>
    <row r="761" spans="5:6">
      <c r="E761" s="125">
        <f ca="1"/>
        <v>-1.0008545614824875</v>
      </c>
      <c r="F761" s="126">
        <f ca="1"/>
        <v>-1.1201405882626276</v>
      </c>
    </row>
    <row r="762" spans="5:6">
      <c r="E762" s="125">
        <f ca="1"/>
        <v>0.15462980173400975</v>
      </c>
      <c r="F762" s="126">
        <f ca="1"/>
        <v>1.4837330237914987</v>
      </c>
    </row>
    <row r="763" spans="5:6">
      <c r="E763" s="125">
        <f ca="1"/>
        <v>2.2409641360471886E-2</v>
      </c>
      <c r="F763" s="126">
        <f ca="1"/>
        <v>6.6434042620954221E-3</v>
      </c>
    </row>
    <row r="764" spans="5:6">
      <c r="E764" s="125">
        <f ca="1"/>
        <v>-0.21643576868054323</v>
      </c>
      <c r="F764" s="126">
        <f ca="1"/>
        <v>-0.60431564673384264</v>
      </c>
    </row>
    <row r="765" spans="5:6">
      <c r="E765" s="125">
        <f ca="1"/>
        <v>-0.42011740897379829</v>
      </c>
      <c r="F765" s="126">
        <f ca="1"/>
        <v>0.21128656676022148</v>
      </c>
    </row>
    <row r="766" spans="5:6">
      <c r="E766" s="125">
        <f ca="1"/>
        <v>0.97763904608158003</v>
      </c>
      <c r="F766" s="126">
        <f ca="1"/>
        <v>1.0718748577485711</v>
      </c>
    </row>
    <row r="767" spans="5:6">
      <c r="E767" s="125">
        <f ca="1"/>
        <v>0.9159252754513284</v>
      </c>
      <c r="F767" s="126">
        <f ca="1"/>
        <v>-0.55670010398507785</v>
      </c>
    </row>
    <row r="768" spans="5:6">
      <c r="E768" s="125">
        <f ca="1"/>
        <v>0.2051518584213454</v>
      </c>
      <c r="F768" s="126">
        <f ca="1"/>
        <v>-0.76309593801460274</v>
      </c>
    </row>
    <row r="769" spans="5:6">
      <c r="E769" s="125">
        <f ca="1"/>
        <v>-1.1226236558469003</v>
      </c>
      <c r="F769" s="126">
        <f ca="1"/>
        <v>-0.48394730865702557</v>
      </c>
    </row>
    <row r="770" spans="5:6">
      <c r="E770" s="125">
        <f ca="1"/>
        <v>0.65765065852585713</v>
      </c>
      <c r="F770" s="126">
        <f ca="1"/>
        <v>-0.64071648275900239</v>
      </c>
    </row>
    <row r="771" spans="5:6">
      <c r="E771" s="125">
        <f ca="1"/>
        <v>-0.80181136332307623</v>
      </c>
      <c r="F771" s="126">
        <f ca="1"/>
        <v>-0.55602150856617705</v>
      </c>
    </row>
    <row r="772" spans="5:6">
      <c r="E772" s="125">
        <f ca="1"/>
        <v>-0.68789645748621342</v>
      </c>
      <c r="F772" s="126">
        <f ca="1"/>
        <v>-0.50893161852177093</v>
      </c>
    </row>
    <row r="773" spans="5:6">
      <c r="E773" s="125">
        <f ca="1"/>
        <v>0.14634603009196692</v>
      </c>
      <c r="F773" s="126">
        <f ca="1"/>
        <v>0.66931077579195153</v>
      </c>
    </row>
    <row r="774" spans="5:6">
      <c r="E774" s="125">
        <f ca="1"/>
        <v>-1.2034085434772599</v>
      </c>
      <c r="F774" s="126">
        <f ca="1"/>
        <v>0.23466332429931214</v>
      </c>
    </row>
    <row r="775" spans="5:6">
      <c r="E775" s="125">
        <f ca="1"/>
        <v>-0.4520991190568675</v>
      </c>
      <c r="F775" s="126">
        <f ca="1"/>
        <v>-1.3218114630701439</v>
      </c>
    </row>
    <row r="776" spans="5:6">
      <c r="E776" s="125">
        <f ca="1"/>
        <v>2.3180931427348619</v>
      </c>
      <c r="F776" s="126">
        <f ca="1"/>
        <v>0.74901201004858042</v>
      </c>
    </row>
    <row r="777" spans="5:6">
      <c r="E777" s="125">
        <f ca="1"/>
        <v>0.11369894217055998</v>
      </c>
      <c r="F777" s="126">
        <f ca="1"/>
        <v>-0.73060372695305764</v>
      </c>
    </row>
    <row r="778" spans="5:6">
      <c r="E778" s="125">
        <f ca="1"/>
        <v>-1.8441017864872626</v>
      </c>
      <c r="F778" s="126">
        <f ca="1"/>
        <v>4.1538217627457241E-2</v>
      </c>
    </row>
    <row r="779" spans="5:6">
      <c r="E779" s="125">
        <f ca="1"/>
        <v>-1.6788411345939689</v>
      </c>
      <c r="F779" s="126">
        <f ca="1"/>
        <v>-3.0719654168205088</v>
      </c>
    </row>
    <row r="780" spans="5:6">
      <c r="E780" s="125">
        <f ca="1"/>
        <v>-0.7671942205618999</v>
      </c>
      <c r="F780" s="126">
        <f ca="1"/>
        <v>-1.1097642244869752</v>
      </c>
    </row>
    <row r="781" spans="5:6">
      <c r="E781" s="125">
        <f ca="1"/>
        <v>-0.60602629971539823</v>
      </c>
      <c r="F781" s="126">
        <f ca="1"/>
        <v>-0.51669995913728872</v>
      </c>
    </row>
    <row r="782" spans="5:6">
      <c r="E782" s="125">
        <f ca="1"/>
        <v>-0.21397666283234901</v>
      </c>
      <c r="F782" s="126">
        <f ca="1"/>
        <v>-0.47917510628191784</v>
      </c>
    </row>
    <row r="783" spans="5:6">
      <c r="E783" s="125">
        <f ca="1"/>
        <v>-0.97963536930867501</v>
      </c>
      <c r="F783" s="126">
        <f ca="1"/>
        <v>0.16616047194844985</v>
      </c>
    </row>
    <row r="784" spans="5:6">
      <c r="E784" s="125">
        <f ca="1"/>
        <v>-0.70865572833305812</v>
      </c>
      <c r="F784" s="126">
        <f ca="1"/>
        <v>-0.16806210096015486</v>
      </c>
    </row>
    <row r="785" spans="5:6">
      <c r="E785" s="125">
        <f ca="1"/>
        <v>0.20259830912181201</v>
      </c>
      <c r="F785" s="126">
        <f ca="1"/>
        <v>7.3603763240734421E-2</v>
      </c>
    </row>
    <row r="786" spans="5:6">
      <c r="E786" s="125">
        <f ca="1"/>
        <v>-0.62652272270366116</v>
      </c>
      <c r="F786" s="126">
        <f ca="1"/>
        <v>0.254654803380295</v>
      </c>
    </row>
    <row r="787" spans="5:6">
      <c r="E787" s="125">
        <f ca="1"/>
        <v>-1.6898547532849479</v>
      </c>
      <c r="F787" s="126">
        <f ca="1"/>
        <v>-0.52357984051469053</v>
      </c>
    </row>
    <row r="788" spans="5:6">
      <c r="E788" s="125">
        <f ca="1"/>
        <v>0.14023047586251819</v>
      </c>
      <c r="F788" s="126">
        <f ca="1"/>
        <v>0.45699365001366121</v>
      </c>
    </row>
    <row r="789" spans="5:6">
      <c r="E789" s="125">
        <f ca="1"/>
        <v>-0.8997642281415259</v>
      </c>
      <c r="F789" s="126">
        <f ca="1"/>
        <v>0.46042784501222778</v>
      </c>
    </row>
    <row r="790" spans="5:6">
      <c r="E790" s="125">
        <f ca="1"/>
        <v>0.27919233009738892</v>
      </c>
      <c r="F790" s="126">
        <f ca="1"/>
        <v>-0.43224628928384179</v>
      </c>
    </row>
    <row r="791" spans="5:6">
      <c r="E791" s="125">
        <f ca="1"/>
        <v>1.0676369177613463</v>
      </c>
      <c r="F791" s="126">
        <f ca="1"/>
        <v>1.5396335650385997</v>
      </c>
    </row>
    <row r="792" spans="5:6">
      <c r="E792" s="125">
        <f ca="1"/>
        <v>0.27086919367012419</v>
      </c>
      <c r="F792" s="126">
        <f ca="1"/>
        <v>0.65942749575988779</v>
      </c>
    </row>
    <row r="793" spans="5:6">
      <c r="E793" s="125">
        <f ca="1"/>
        <v>0.69793028345545249</v>
      </c>
      <c r="F793" s="126">
        <f ca="1"/>
        <v>1.5446077054786964</v>
      </c>
    </row>
    <row r="794" spans="5:6">
      <c r="E794" s="125">
        <f ca="1"/>
        <v>0.71099775173200241</v>
      </c>
      <c r="F794" s="126">
        <f ca="1"/>
        <v>-0.11275098605175654</v>
      </c>
    </row>
    <row r="795" spans="5:6">
      <c r="E795" s="125">
        <f ca="1"/>
        <v>-0.75773164258084824</v>
      </c>
      <c r="F795" s="126">
        <f ca="1"/>
        <v>-0.69224759482030163</v>
      </c>
    </row>
    <row r="796" spans="5:6">
      <c r="E796" s="125">
        <f ca="1"/>
        <v>-0.78823136240146652</v>
      </c>
      <c r="F796" s="126">
        <f ca="1"/>
        <v>-1.0432770559144826</v>
      </c>
    </row>
    <row r="797" spans="5:6">
      <c r="E797" s="125">
        <f ca="1"/>
        <v>-3.7045286346371602E-2</v>
      </c>
      <c r="F797" s="126">
        <f ca="1"/>
        <v>-1.2056564611936202</v>
      </c>
    </row>
    <row r="798" spans="5:6">
      <c r="E798" s="125">
        <f ca="1"/>
        <v>1.2457502037205124</v>
      </c>
      <c r="F798" s="126">
        <f ca="1"/>
        <v>-0.49108931088415197</v>
      </c>
    </row>
    <row r="799" spans="5:6">
      <c r="E799" s="125">
        <f ca="1"/>
        <v>-2.3360905223370052</v>
      </c>
      <c r="F799" s="126">
        <f ca="1"/>
        <v>-0.37138504747926948</v>
      </c>
    </row>
    <row r="800" spans="5:6">
      <c r="E800" s="125">
        <f ca="1"/>
        <v>0.41348061188453022</v>
      </c>
      <c r="F800" s="126">
        <f ca="1"/>
        <v>-0.11812750942758704</v>
      </c>
    </row>
    <row r="801" spans="5:6">
      <c r="E801" s="125">
        <f ca="1"/>
        <v>1.908004578692273</v>
      </c>
      <c r="F801" s="126">
        <f ca="1"/>
        <v>1.4680252374659859</v>
      </c>
    </row>
    <row r="802" spans="5:6">
      <c r="E802" s="125">
        <f ca="1"/>
        <v>-1.6928607957280342</v>
      </c>
      <c r="F802" s="126">
        <f ca="1"/>
        <v>0.13226418908584614</v>
      </c>
    </row>
    <row r="803" spans="5:6">
      <c r="E803" s="125">
        <f ca="1"/>
        <v>-1.8109609995966562</v>
      </c>
      <c r="F803" s="126">
        <f ca="1"/>
        <v>-1.4319813709607279</v>
      </c>
    </row>
    <row r="804" spans="5:6">
      <c r="E804" s="125">
        <f ca="1"/>
        <v>0.24528946720278347</v>
      </c>
      <c r="F804" s="126">
        <f ca="1"/>
        <v>0.8330681668032095</v>
      </c>
    </row>
    <row r="805" spans="5:6">
      <c r="E805" s="125">
        <f ca="1"/>
        <v>-3.1498759219615702E-2</v>
      </c>
      <c r="F805" s="126">
        <f ca="1"/>
        <v>1.7912227615350296</v>
      </c>
    </row>
    <row r="806" spans="5:6">
      <c r="E806" s="125">
        <f ca="1"/>
        <v>-0.31236676926780277</v>
      </c>
      <c r="F806" s="126">
        <f ca="1"/>
        <v>-0.93710389041140363</v>
      </c>
    </row>
    <row r="807" spans="5:6">
      <c r="E807" s="125">
        <f ca="1"/>
        <v>1.2164172750613722</v>
      </c>
      <c r="F807" s="126">
        <f ca="1"/>
        <v>0.53117900287158915</v>
      </c>
    </row>
    <row r="808" spans="5:6">
      <c r="E808" s="125">
        <f ca="1"/>
        <v>-0.40074942359894716</v>
      </c>
      <c r="F808" s="126">
        <f ca="1"/>
        <v>-0.7428850376775431</v>
      </c>
    </row>
    <row r="809" spans="5:6">
      <c r="E809" s="125">
        <f ca="1"/>
        <v>0.63871439481125303</v>
      </c>
      <c r="F809" s="126">
        <f ca="1"/>
        <v>1.3072365138638087</v>
      </c>
    </row>
    <row r="810" spans="5:6">
      <c r="E810" s="125">
        <f ca="1"/>
        <v>-0.84605534933011295</v>
      </c>
      <c r="F810" s="126">
        <f ca="1"/>
        <v>3.4082927530286633E-2</v>
      </c>
    </row>
    <row r="811" spans="5:6">
      <c r="E811" s="125">
        <f ca="1"/>
        <v>4.8322527933291878E-2</v>
      </c>
      <c r="F811" s="126">
        <f ca="1"/>
        <v>-0.32429143185959258</v>
      </c>
    </row>
    <row r="812" spans="5:6">
      <c r="E812" s="125">
        <f ca="1"/>
        <v>0.56928666849125287</v>
      </c>
      <c r="F812" s="126">
        <f ca="1"/>
        <v>2.0937581379835319</v>
      </c>
    </row>
    <row r="813" spans="5:6">
      <c r="E813" s="125">
        <f ca="1"/>
        <v>8.6905362569460867E-2</v>
      </c>
      <c r="F813" s="126">
        <f ca="1"/>
        <v>0.20843974025467293</v>
      </c>
    </row>
    <row r="814" spans="5:6">
      <c r="E814" s="125">
        <f ca="1"/>
        <v>2.0008803693171808</v>
      </c>
      <c r="F814" s="126">
        <f ca="1"/>
        <v>1.2025076069881855</v>
      </c>
    </row>
    <row r="815" spans="5:6">
      <c r="E815" s="125">
        <f ca="1"/>
        <v>-0.66785577005214214</v>
      </c>
      <c r="F815" s="126">
        <f ca="1"/>
        <v>-4.7626004743464068E-2</v>
      </c>
    </row>
    <row r="816" spans="5:6">
      <c r="E816" s="125">
        <f ca="1"/>
        <v>-0.5892216522265683</v>
      </c>
      <c r="F816" s="126">
        <f ca="1"/>
        <v>-0.77485363778096694</v>
      </c>
    </row>
    <row r="817" spans="5:6">
      <c r="E817" s="125">
        <f ca="1"/>
        <v>1.4106094260485573</v>
      </c>
      <c r="F817" s="126">
        <f ca="1"/>
        <v>-0.28228413108701023</v>
      </c>
    </row>
    <row r="818" spans="5:6">
      <c r="E818" s="125">
        <f ca="1"/>
        <v>0.40019655643053931</v>
      </c>
      <c r="F818" s="126">
        <f ca="1"/>
        <v>-1.4207822792590481</v>
      </c>
    </row>
    <row r="819" spans="5:6">
      <c r="E819" s="125">
        <f ca="1"/>
        <v>0.14637266840258498</v>
      </c>
      <c r="F819" s="126">
        <f ca="1"/>
        <v>-0.93037646663766604</v>
      </c>
    </row>
    <row r="820" spans="5:6">
      <c r="E820" s="125">
        <f ca="1"/>
        <v>-0.15797735194459211</v>
      </c>
      <c r="F820" s="126">
        <f ca="1"/>
        <v>-0.14156132643476443</v>
      </c>
    </row>
    <row r="821" spans="5:6">
      <c r="E821" s="125">
        <f ca="1"/>
        <v>0.50966492062826874</v>
      </c>
      <c r="F821" s="126">
        <f ca="1"/>
        <v>-0.4981511849079559</v>
      </c>
    </row>
    <row r="822" spans="5:6">
      <c r="E822" s="125">
        <f ca="1"/>
        <v>-0.16838180198423228</v>
      </c>
      <c r="F822" s="126">
        <f ca="1"/>
        <v>-1.3578952446782713</v>
      </c>
    </row>
    <row r="823" spans="5:6">
      <c r="E823" s="125">
        <f ca="1"/>
        <v>2.0327308474798893</v>
      </c>
      <c r="F823" s="126">
        <f ca="1"/>
        <v>-0.40779650516471833</v>
      </c>
    </row>
    <row r="824" spans="5:6">
      <c r="E824" s="125">
        <f ca="1"/>
        <v>-1.249476013517816</v>
      </c>
      <c r="F824" s="126">
        <f ca="1"/>
        <v>-1.5430773867659644</v>
      </c>
    </row>
    <row r="825" spans="5:6">
      <c r="E825" s="125">
        <f ca="1"/>
        <v>0.46931449220410321</v>
      </c>
      <c r="F825" s="126">
        <f ca="1"/>
        <v>-0.38786397563548036</v>
      </c>
    </row>
    <row r="826" spans="5:6">
      <c r="E826" s="125">
        <f ca="1"/>
        <v>-0.66977542666374179</v>
      </c>
      <c r="F826" s="126">
        <f ca="1"/>
        <v>0.50232617824359038</v>
      </c>
    </row>
    <row r="827" spans="5:6">
      <c r="E827" s="125">
        <f ca="1"/>
        <v>2.2331431904216999E-2</v>
      </c>
      <c r="F827" s="126">
        <f ca="1"/>
        <v>0.67457243509395715</v>
      </c>
    </row>
    <row r="828" spans="5:6">
      <c r="E828" s="125">
        <f ca="1"/>
        <v>1.1177620438016282</v>
      </c>
      <c r="F828" s="126">
        <f ca="1"/>
        <v>1.5740501287626811</v>
      </c>
    </row>
    <row r="829" spans="5:6">
      <c r="E829" s="125">
        <f ca="1"/>
        <v>-0.8080755776688362</v>
      </c>
      <c r="F829" s="126">
        <f ca="1"/>
        <v>-2.8945471678394825</v>
      </c>
    </row>
    <row r="830" spans="5:6">
      <c r="E830" s="125">
        <f ca="1"/>
        <v>-1.1958669947760785</v>
      </c>
      <c r="F830" s="126">
        <f ca="1"/>
        <v>-0.17326773987977939</v>
      </c>
    </row>
    <row r="831" spans="5:6">
      <c r="E831" s="125">
        <f ca="1"/>
        <v>1.392775010812155</v>
      </c>
      <c r="F831" s="126">
        <f ca="1"/>
        <v>-0.38549225248423102</v>
      </c>
    </row>
    <row r="832" spans="5:6">
      <c r="E832" s="125">
        <f ca="1"/>
        <v>-0.47734428245283511</v>
      </c>
      <c r="F832" s="126">
        <f ca="1"/>
        <v>-2.1822760550982236</v>
      </c>
    </row>
    <row r="833" spans="5:6">
      <c r="E833" s="125">
        <f ca="1"/>
        <v>-1.0753931836921622</v>
      </c>
      <c r="F833" s="126">
        <f ca="1"/>
        <v>-1.4316584320832026</v>
      </c>
    </row>
    <row r="834" spans="5:6">
      <c r="E834" s="125">
        <f ca="1"/>
        <v>0.56770013685439769</v>
      </c>
      <c r="F834" s="126">
        <f ca="1"/>
        <v>-0.11269393106029235</v>
      </c>
    </row>
    <row r="835" spans="5:6">
      <c r="E835" s="125">
        <f ca="1"/>
        <v>5.8982139655520766E-2</v>
      </c>
      <c r="F835" s="126">
        <f ca="1"/>
        <v>0.50163689533314115</v>
      </c>
    </row>
    <row r="836" spans="5:6">
      <c r="E836" s="125">
        <f ca="1"/>
        <v>-0.30696121774291818</v>
      </c>
      <c r="F836" s="126">
        <f ca="1"/>
        <v>1.0406183354223641</v>
      </c>
    </row>
    <row r="837" spans="5:6">
      <c r="E837" s="125">
        <f ca="1"/>
        <v>1.4656394754363404</v>
      </c>
      <c r="F837" s="126">
        <f ca="1"/>
        <v>0.60292732982144914</v>
      </c>
    </row>
    <row r="838" spans="5:6">
      <c r="E838" s="125">
        <f ca="1"/>
        <v>-0.61143981102221878</v>
      </c>
      <c r="F838" s="126">
        <f ca="1"/>
        <v>1.6181090116416361</v>
      </c>
    </row>
    <row r="839" spans="5:6">
      <c r="E839" s="125">
        <f ca="1"/>
        <v>-0.3490251531433049</v>
      </c>
      <c r="F839" s="126">
        <f ca="1"/>
        <v>-1.7177860290568407</v>
      </c>
    </row>
    <row r="840" spans="5:6">
      <c r="E840" s="125">
        <f ca="1"/>
        <v>1.6155442753352063</v>
      </c>
      <c r="F840" s="126">
        <f ca="1"/>
        <v>1.1562042901739029</v>
      </c>
    </row>
    <row r="841" spans="5:6">
      <c r="E841" s="125">
        <f ca="1"/>
        <v>-0.35441856846512226</v>
      </c>
      <c r="F841" s="126">
        <f ca="1"/>
        <v>-0.25192255333013924</v>
      </c>
    </row>
    <row r="842" spans="5:6">
      <c r="E842" s="125">
        <f ca="1"/>
        <v>1.3408133324989167</v>
      </c>
      <c r="F842" s="126">
        <f ca="1"/>
        <v>1.3880270517177715</v>
      </c>
    </row>
    <row r="843" spans="5:6">
      <c r="E843" s="125">
        <f ca="1"/>
        <v>-0.52196513447739312</v>
      </c>
      <c r="F843" s="126">
        <f ca="1"/>
        <v>1.6139816543907768</v>
      </c>
    </row>
    <row r="844" spans="5:6">
      <c r="E844" s="125">
        <f ca="1"/>
        <v>0.2800187176819357</v>
      </c>
      <c r="F844" s="126">
        <f ca="1"/>
        <v>0.2699337482602498</v>
      </c>
    </row>
    <row r="845" spans="5:6">
      <c r="E845" s="125">
        <f ca="1"/>
        <v>-0.3070237153097457</v>
      </c>
      <c r="F845" s="126">
        <f ca="1"/>
        <v>0.48064294545393615</v>
      </c>
    </row>
    <row r="846" spans="5:6">
      <c r="E846" s="125">
        <f ca="1"/>
        <v>2.6663688257208391</v>
      </c>
      <c r="F846" s="126">
        <f ca="1"/>
        <v>1.2363644374450926</v>
      </c>
    </row>
    <row r="847" spans="5:6">
      <c r="E847" s="125">
        <f ca="1"/>
        <v>-4.8929195081462026E-2</v>
      </c>
      <c r="F847" s="126">
        <f ca="1"/>
        <v>-0.49601707862010724</v>
      </c>
    </row>
    <row r="848" spans="5:6">
      <c r="E848" s="125">
        <f ca="1"/>
        <v>2.2144051398147506</v>
      </c>
      <c r="F848" s="126">
        <f ca="1"/>
        <v>0.88976165760383585</v>
      </c>
    </row>
    <row r="849" spans="5:6">
      <c r="E849" s="125">
        <f ca="1"/>
        <v>-1.1984626992709464</v>
      </c>
      <c r="F849" s="126">
        <f ca="1"/>
        <v>-1.8629161713600841</v>
      </c>
    </row>
    <row r="850" spans="5:6">
      <c r="E850" s="125">
        <f ca="1"/>
        <v>1.1648270654966475</v>
      </c>
      <c r="F850" s="126">
        <f ca="1"/>
        <v>0.88556092806226427</v>
      </c>
    </row>
    <row r="851" spans="5:6">
      <c r="E851" s="125">
        <f ca="1"/>
        <v>-1.820008747379485</v>
      </c>
      <c r="F851" s="126">
        <f ca="1"/>
        <v>-1.7126005852587092</v>
      </c>
    </row>
    <row r="852" spans="5:6">
      <c r="E852" s="125">
        <f ca="1"/>
        <v>3.6993746412362005E-3</v>
      </c>
      <c r="F852" s="126">
        <f ca="1"/>
        <v>-1.4108765815194797</v>
      </c>
    </row>
    <row r="853" spans="5:6">
      <c r="E853" s="125">
        <f ca="1"/>
        <v>0.99557268639311014</v>
      </c>
      <c r="F853" s="126">
        <f ca="1"/>
        <v>-0.61130687833817743</v>
      </c>
    </row>
    <row r="854" spans="5:6">
      <c r="E854" s="125">
        <f ca="1"/>
        <v>0.88400286592136945</v>
      </c>
      <c r="F854" s="126">
        <f ca="1"/>
        <v>0.65913868967044265</v>
      </c>
    </row>
    <row r="855" spans="5:6">
      <c r="E855" s="125">
        <f ca="1"/>
        <v>1.7154093538578313E-2</v>
      </c>
      <c r="F855" s="126">
        <f ca="1"/>
        <v>2.2221840179678529</v>
      </c>
    </row>
    <row r="856" spans="5:6">
      <c r="E856" s="125">
        <f ca="1"/>
        <v>0.82707513637710273</v>
      </c>
      <c r="F856" s="126">
        <f ca="1"/>
        <v>1.0774535421017917</v>
      </c>
    </row>
    <row r="857" spans="5:6">
      <c r="E857" s="125">
        <f ca="1"/>
        <v>-0.32785558621144639</v>
      </c>
      <c r="F857" s="126">
        <f ca="1"/>
        <v>-0.70720267445503993</v>
      </c>
    </row>
    <row r="858" spans="5:6">
      <c r="E858" s="125">
        <f ca="1"/>
        <v>-0.92460463480820265</v>
      </c>
      <c r="F858" s="126">
        <f ca="1"/>
        <v>-1.3530442648319303</v>
      </c>
    </row>
    <row r="859" spans="5:6">
      <c r="E859" s="125">
        <f ca="1"/>
        <v>0.18071795317835548</v>
      </c>
      <c r="F859" s="126">
        <f ca="1"/>
        <v>-0.14243694093337372</v>
      </c>
    </row>
    <row r="860" spans="5:6">
      <c r="E860" s="125">
        <f ca="1"/>
        <v>0.27258115751279971</v>
      </c>
      <c r="F860" s="126">
        <f ca="1"/>
        <v>-0.21562361472700123</v>
      </c>
    </row>
    <row r="861" spans="5:6">
      <c r="E861" s="125">
        <f ca="1"/>
        <v>-1.7083913597035749</v>
      </c>
      <c r="F861" s="126">
        <f ca="1"/>
        <v>-2.6385968197114438</v>
      </c>
    </row>
    <row r="862" spans="5:6">
      <c r="E862" s="125">
        <f ca="1"/>
        <v>-1.2937366604528329</v>
      </c>
      <c r="F862" s="126">
        <f ca="1"/>
        <v>-1.8501606253288687</v>
      </c>
    </row>
    <row r="863" spans="5:6">
      <c r="E863" s="125">
        <f ca="1"/>
        <v>-0.20015587003352661</v>
      </c>
      <c r="F863" s="126">
        <f ca="1"/>
        <v>2.1165107681915276</v>
      </c>
    </row>
    <row r="864" spans="5:6">
      <c r="E864" s="125">
        <f ca="1"/>
        <v>-0.74273499237847862</v>
      </c>
      <c r="F864" s="126">
        <f ca="1"/>
        <v>-1.6664599887787308</v>
      </c>
    </row>
    <row r="865" spans="5:6">
      <c r="E865" s="125">
        <f ca="1"/>
        <v>3.3554943321100861E-3</v>
      </c>
      <c r="F865" s="126">
        <f ca="1"/>
        <v>-0.45825702246536187</v>
      </c>
    </row>
    <row r="866" spans="5:6">
      <c r="E866" s="125">
        <f ca="1"/>
        <v>-1.0658668352751124</v>
      </c>
      <c r="F866" s="126">
        <f ca="1"/>
        <v>-1.1643932741624687</v>
      </c>
    </row>
    <row r="867" spans="5:6">
      <c r="E867" s="125">
        <f ca="1"/>
        <v>1.0500698989697324</v>
      </c>
      <c r="F867" s="126">
        <f ca="1"/>
        <v>6.1324754117858704E-2</v>
      </c>
    </row>
    <row r="868" spans="5:6">
      <c r="E868" s="125">
        <f ca="1"/>
        <v>-0.49707739114965199</v>
      </c>
      <c r="F868" s="126">
        <f ca="1"/>
        <v>-1.9156501183096717</v>
      </c>
    </row>
    <row r="869" spans="5:6">
      <c r="E869" s="125">
        <f ca="1"/>
        <v>-1.4052475284413819</v>
      </c>
      <c r="F869" s="126">
        <f ca="1"/>
        <v>-0.5820984713139169</v>
      </c>
    </row>
    <row r="870" spans="5:6">
      <c r="E870" s="125">
        <f ca="1"/>
        <v>-0.11699552866605131</v>
      </c>
      <c r="F870" s="126">
        <f ca="1"/>
        <v>0.72712458010134906</v>
      </c>
    </row>
    <row r="871" spans="5:6">
      <c r="E871" s="125">
        <f ca="1"/>
        <v>-0.88027932227239492</v>
      </c>
      <c r="F871" s="126">
        <f ca="1"/>
        <v>1.3996909634652108</v>
      </c>
    </row>
    <row r="872" spans="5:6">
      <c r="E872" s="125">
        <f ca="1"/>
        <v>-0.53483674666253345</v>
      </c>
      <c r="F872" s="126">
        <f ca="1"/>
        <v>0.13079090519930908</v>
      </c>
    </row>
    <row r="873" spans="5:6">
      <c r="E873" s="125">
        <f ca="1"/>
        <v>-0.33289810701493694</v>
      </c>
      <c r="F873" s="126">
        <f ca="1"/>
        <v>0.69473592232276382</v>
      </c>
    </row>
    <row r="874" spans="5:6">
      <c r="E874" s="125">
        <f ca="1"/>
        <v>0.1497233376845698</v>
      </c>
      <c r="F874" s="126">
        <f ca="1"/>
        <v>0.43725671611263656</v>
      </c>
    </row>
    <row r="875" spans="5:6">
      <c r="E875" s="125">
        <f ca="1"/>
        <v>0.59551536445071473</v>
      </c>
      <c r="F875" s="126">
        <f ca="1"/>
        <v>1.0111406309864317</v>
      </c>
    </row>
    <row r="876" spans="5:6">
      <c r="E876" s="125">
        <f ca="1"/>
        <v>1.1348800429962176</v>
      </c>
      <c r="F876" s="126">
        <f ca="1"/>
        <v>2.1595275781221583</v>
      </c>
    </row>
    <row r="877" spans="5:6">
      <c r="E877" s="125">
        <f ca="1"/>
        <v>-0.32935550363799487</v>
      </c>
      <c r="F877" s="126">
        <f ca="1"/>
        <v>0.47662070191440298</v>
      </c>
    </row>
    <row r="878" spans="5:6">
      <c r="E878" s="125">
        <f ca="1"/>
        <v>-0.81660412137318661</v>
      </c>
      <c r="F878" s="126">
        <f ca="1"/>
        <v>-0.47072261952170885</v>
      </c>
    </row>
    <row r="879" spans="5:6">
      <c r="E879" s="125">
        <f ca="1"/>
        <v>0.85095152154374287</v>
      </c>
      <c r="F879" s="126">
        <f ca="1"/>
        <v>0.56060092771373693</v>
      </c>
    </row>
    <row r="880" spans="5:6">
      <c r="E880" s="125">
        <f ca="1"/>
        <v>-1.5752380367152294</v>
      </c>
      <c r="F880" s="126">
        <f ca="1"/>
        <v>-0.4370562488254513</v>
      </c>
    </row>
    <row r="881" spans="5:6">
      <c r="E881" s="125">
        <f ca="1"/>
        <v>-0.9230549775444975</v>
      </c>
      <c r="F881" s="126">
        <f ca="1"/>
        <v>-0.53748026388807557</v>
      </c>
    </row>
    <row r="882" spans="5:6">
      <c r="E882" s="125">
        <f ca="1"/>
        <v>1.3288876445829085</v>
      </c>
      <c r="F882" s="126">
        <f ca="1"/>
        <v>1.2930117905361769</v>
      </c>
    </row>
    <row r="883" spans="5:6">
      <c r="E883" s="125">
        <f ca="1"/>
        <v>0.7388396637898218</v>
      </c>
      <c r="F883" s="126">
        <f ca="1"/>
        <v>0.2461819642674935</v>
      </c>
    </row>
    <row r="884" spans="5:6">
      <c r="E884" s="125">
        <f ca="1"/>
        <v>-0.41203560428467118</v>
      </c>
      <c r="F884" s="126">
        <f ca="1"/>
        <v>-1.1863802446950074</v>
      </c>
    </row>
    <row r="885" spans="5:6">
      <c r="E885" s="125">
        <f ca="1"/>
        <v>1.8971041251778748E-2</v>
      </c>
      <c r="F885" s="126">
        <f ca="1"/>
        <v>-0.34760659974635832</v>
      </c>
    </row>
    <row r="886" spans="5:6">
      <c r="E886" s="125">
        <f ca="1"/>
        <v>0.99960804165856432</v>
      </c>
      <c r="F886" s="126">
        <f ca="1"/>
        <v>0.92145586093917542</v>
      </c>
    </row>
    <row r="887" spans="5:6">
      <c r="E887" s="125">
        <f ca="1"/>
        <v>-0.6581944359583547</v>
      </c>
      <c r="F887" s="126">
        <f ca="1"/>
        <v>-0.4646471314076821</v>
      </c>
    </row>
    <row r="888" spans="5:6">
      <c r="E888" s="125">
        <f ca="1"/>
        <v>1.4934084491156721</v>
      </c>
      <c r="F888" s="126">
        <f ca="1"/>
        <v>1.2883928018256616</v>
      </c>
    </row>
    <row r="889" spans="5:6">
      <c r="E889" s="125">
        <f ca="1"/>
        <v>-0.41530830188617701</v>
      </c>
      <c r="F889" s="126">
        <f ca="1"/>
        <v>-1.3422540249834432</v>
      </c>
    </row>
    <row r="890" spans="5:6">
      <c r="E890" s="125">
        <f ca="1"/>
        <v>0.87608330713804106</v>
      </c>
      <c r="F890" s="126">
        <f ca="1"/>
        <v>0.52456797920488019</v>
      </c>
    </row>
    <row r="891" spans="5:6">
      <c r="E891" s="125">
        <f ca="1"/>
        <v>1.0144701611392382</v>
      </c>
      <c r="F891" s="126">
        <f ca="1"/>
        <v>-0.1719569431585708</v>
      </c>
    </row>
    <row r="892" spans="5:6">
      <c r="E892" s="125">
        <f ca="1"/>
        <v>-1.5320407387520263</v>
      </c>
      <c r="F892" s="126">
        <f ca="1"/>
        <v>0.37631813705015904</v>
      </c>
    </row>
    <row r="893" spans="5:6">
      <c r="E893" s="125">
        <f ca="1"/>
        <v>0.60999562142580754</v>
      </c>
      <c r="F893" s="126">
        <f ca="1"/>
        <v>-0.55955458577943407</v>
      </c>
    </row>
    <row r="894" spans="5:6">
      <c r="E894" s="125">
        <f ca="1"/>
        <v>-0.24598118165702612</v>
      </c>
      <c r="F894" s="126">
        <f ca="1"/>
        <v>-0.16849528284276311</v>
      </c>
    </row>
    <row r="895" spans="5:6">
      <c r="E895" s="125">
        <f ca="1"/>
        <v>6.5782924971133569E-2</v>
      </c>
      <c r="F895" s="126">
        <f ca="1"/>
        <v>0.80057822193857442</v>
      </c>
    </row>
    <row r="896" spans="5:6">
      <c r="E896" s="125">
        <f ca="1"/>
        <v>-0.65337215272134386</v>
      </c>
      <c r="F896" s="126">
        <f ca="1"/>
        <v>0.57095846495196023</v>
      </c>
    </row>
    <row r="897" spans="5:6">
      <c r="E897" s="125">
        <f ca="1"/>
        <v>-0.85554308157811898</v>
      </c>
      <c r="F897" s="126">
        <f ca="1"/>
        <v>-1.0346333674821164</v>
      </c>
    </row>
    <row r="898" spans="5:6">
      <c r="E898" s="125">
        <f ca="1"/>
        <v>0.36942475073400671</v>
      </c>
      <c r="F898" s="126">
        <f ca="1"/>
        <v>1.0628539850377072</v>
      </c>
    </row>
    <row r="899" spans="5:6">
      <c r="E899" s="125">
        <f ca="1"/>
        <v>1.4011246760926743</v>
      </c>
      <c r="F899" s="126">
        <f ca="1"/>
        <v>0.70735094675241017</v>
      </c>
    </row>
    <row r="900" spans="5:6">
      <c r="E900" s="125">
        <f ca="1"/>
        <v>0.18346438590087821</v>
      </c>
      <c r="F900" s="126">
        <f ca="1"/>
        <v>0.98811612027629292</v>
      </c>
    </row>
    <row r="901" spans="5:6">
      <c r="E901" s="125">
        <f ca="1"/>
        <v>-0.15009890730168202</v>
      </c>
      <c r="F901" s="126">
        <f ca="1"/>
        <v>0.38397062180860586</v>
      </c>
    </row>
    <row r="902" spans="5:6">
      <c r="E902" s="125">
        <f ca="1"/>
        <v>1.4435967883064578</v>
      </c>
      <c r="F902" s="126">
        <f ca="1"/>
        <v>1.8933415746518054</v>
      </c>
    </row>
    <row r="903" spans="5:6">
      <c r="E903" s="125">
        <f ca="1"/>
        <v>1.3707644335107885</v>
      </c>
      <c r="F903" s="126">
        <f ca="1"/>
        <v>0.67746955413530308</v>
      </c>
    </row>
    <row r="904" spans="5:6">
      <c r="E904" s="125">
        <f ca="1"/>
        <v>-0.26922420833929117</v>
      </c>
      <c r="F904" s="126">
        <f ca="1"/>
        <v>0.39547025229273652</v>
      </c>
    </row>
    <row r="905" spans="5:6">
      <c r="E905" s="125">
        <f ca="1"/>
        <v>0.30248355892634615</v>
      </c>
      <c r="F905" s="126">
        <f ca="1"/>
        <v>-1.2350906986088872E-3</v>
      </c>
    </row>
    <row r="906" spans="5:6">
      <c r="E906" s="125">
        <f ca="1"/>
        <v>0.98481233285899461</v>
      </c>
      <c r="F906" s="126">
        <f ca="1"/>
        <v>1.3737050426386834</v>
      </c>
    </row>
    <row r="907" spans="5:6">
      <c r="E907" s="125">
        <f ca="1"/>
        <v>1.3172790511607226</v>
      </c>
      <c r="F907" s="126">
        <f ca="1"/>
        <v>1.3020950743868764</v>
      </c>
    </row>
    <row r="908" spans="5:6">
      <c r="E908" s="125">
        <f ca="1"/>
        <v>0.47373301542969976</v>
      </c>
      <c r="F908" s="126">
        <f ca="1"/>
        <v>-4.3668725629310318E-2</v>
      </c>
    </row>
    <row r="909" spans="5:6">
      <c r="E909" s="125">
        <f ca="1"/>
        <v>1.3624639527954134</v>
      </c>
      <c r="F909" s="126">
        <f ca="1"/>
        <v>0.20912725728298276</v>
      </c>
    </row>
    <row r="910" spans="5:6">
      <c r="E910" s="125">
        <f ca="1"/>
        <v>-0.42967755818768039</v>
      </c>
      <c r="F910" s="126">
        <f ca="1"/>
        <v>-0.33964946098457371</v>
      </c>
    </row>
    <row r="911" spans="5:6">
      <c r="E911" s="125">
        <f ca="1"/>
        <v>-0.25601527497966403</v>
      </c>
      <c r="F911" s="126">
        <f ca="1"/>
        <v>-1.4320325324868974</v>
      </c>
    </row>
    <row r="912" spans="5:6">
      <c r="E912" s="125">
        <f ca="1"/>
        <v>-0.57081701206611424</v>
      </c>
      <c r="F912" s="126">
        <f ca="1"/>
        <v>0.30153205405037564</v>
      </c>
    </row>
    <row r="913" spans="5:6">
      <c r="E913" s="125">
        <f ca="1"/>
        <v>-0.66878944841048338</v>
      </c>
      <c r="F913" s="126">
        <f ca="1"/>
        <v>-0.33503562167988632</v>
      </c>
    </row>
    <row r="914" spans="5:6">
      <c r="E914" s="125">
        <f ca="1"/>
        <v>0.53943634671219665</v>
      </c>
      <c r="F914" s="126">
        <f ca="1"/>
        <v>-0.17421112935000332</v>
      </c>
    </row>
    <row r="915" spans="5:6">
      <c r="E915" s="125">
        <f ca="1"/>
        <v>1.1114569312909994</v>
      </c>
      <c r="F915" s="126">
        <f ca="1"/>
        <v>0.82728096421762043</v>
      </c>
    </row>
    <row r="916" spans="5:6">
      <c r="E916" s="125">
        <f ca="1"/>
        <v>0.1796988918512972</v>
      </c>
      <c r="F916" s="126">
        <f ca="1"/>
        <v>-0.13866352415965771</v>
      </c>
    </row>
    <row r="917" spans="5:6">
      <c r="E917" s="125">
        <f ca="1"/>
        <v>0.10663474097273695</v>
      </c>
      <c r="F917" s="126">
        <f ca="1"/>
        <v>-0.25983364473945619</v>
      </c>
    </row>
    <row r="918" spans="5:6">
      <c r="E918" s="125">
        <f ca="1"/>
        <v>1.9005320673450026</v>
      </c>
      <c r="F918" s="126">
        <f ca="1"/>
        <v>0.25818392915719213</v>
      </c>
    </row>
    <row r="919" spans="5:6">
      <c r="E919" s="125">
        <f ca="1"/>
        <v>0.64691723636414478</v>
      </c>
      <c r="F919" s="126">
        <f ca="1"/>
        <v>0.11556659297153779</v>
      </c>
    </row>
    <row r="920" spans="5:6">
      <c r="E920" s="125">
        <f ca="1"/>
        <v>-0.77308573079340204</v>
      </c>
      <c r="F920" s="126">
        <f ca="1"/>
        <v>-0.57399313062471125</v>
      </c>
    </row>
    <row r="921" spans="5:6">
      <c r="E921" s="125">
        <f ca="1"/>
        <v>-0.55208246169188924</v>
      </c>
      <c r="F921" s="126">
        <f ca="1"/>
        <v>0.74058810674437825</v>
      </c>
    </row>
    <row r="922" spans="5:6">
      <c r="E922" s="125">
        <f ca="1"/>
        <v>-0.71932189302143879</v>
      </c>
      <c r="F922" s="126">
        <f ca="1"/>
        <v>-0.83784474213955262</v>
      </c>
    </row>
    <row r="923" spans="5:6">
      <c r="E923" s="125">
        <f ca="1"/>
        <v>-0.68532566346819301</v>
      </c>
      <c r="F923" s="126">
        <f ca="1"/>
        <v>-0.1555488103658457</v>
      </c>
    </row>
    <row r="924" spans="5:6">
      <c r="E924" s="125">
        <f ca="1"/>
        <v>0.50647806558276254</v>
      </c>
      <c r="F924" s="126">
        <f ca="1"/>
        <v>0.37270872060929811</v>
      </c>
    </row>
    <row r="925" spans="5:6">
      <c r="E925" s="125">
        <f ca="1"/>
        <v>-0.52202489000232155</v>
      </c>
      <c r="F925" s="126">
        <f ca="1"/>
        <v>0.8285098381005751</v>
      </c>
    </row>
    <row r="926" spans="5:6">
      <c r="E926" s="125">
        <f ca="1"/>
        <v>0.41639580158199085</v>
      </c>
      <c r="F926" s="126">
        <f ca="1"/>
        <v>-7.9342197852597385E-3</v>
      </c>
    </row>
    <row r="927" spans="5:6">
      <c r="E927" s="125">
        <f ca="1"/>
        <v>-1.9875708142918405</v>
      </c>
      <c r="F927" s="126">
        <f ca="1"/>
        <v>-1.6518679641375855</v>
      </c>
    </row>
    <row r="928" spans="5:6">
      <c r="E928" s="125">
        <f ca="1"/>
        <v>1.4041636410982983</v>
      </c>
      <c r="F928" s="126">
        <f ca="1"/>
        <v>-0.27679900265569801</v>
      </c>
    </row>
    <row r="929" spans="5:6">
      <c r="E929" s="125">
        <f ca="1"/>
        <v>0.58909068655572328</v>
      </c>
      <c r="F929" s="126">
        <f ca="1"/>
        <v>-0.67521823499238587</v>
      </c>
    </row>
    <row r="930" spans="5:6">
      <c r="E930" s="125">
        <f ca="1"/>
        <v>1.4184869015897803</v>
      </c>
      <c r="F930" s="126">
        <f ca="1"/>
        <v>-1.1559365408802622</v>
      </c>
    </row>
    <row r="931" spans="5:6">
      <c r="E931" s="125">
        <f ca="1"/>
        <v>0.69448830892295887</v>
      </c>
      <c r="F931" s="126">
        <f ca="1"/>
        <v>-1.182884491831482</v>
      </c>
    </row>
    <row r="932" spans="5:6">
      <c r="E932" s="125">
        <f ca="1"/>
        <v>-0.66460228462568449</v>
      </c>
      <c r="F932" s="126">
        <f ca="1"/>
        <v>0.61638575278195051</v>
      </c>
    </row>
    <row r="933" spans="5:6">
      <c r="E933" s="125">
        <f ca="1"/>
        <v>-1.0443779085680358</v>
      </c>
      <c r="F933" s="126">
        <f ca="1"/>
        <v>-1.9249219292410291</v>
      </c>
    </row>
    <row r="934" spans="5:6">
      <c r="E934" s="125">
        <f ca="1"/>
        <v>9.4060056599708813E-2</v>
      </c>
      <c r="F934" s="126">
        <f ca="1"/>
        <v>-0.53787287820862872</v>
      </c>
    </row>
    <row r="935" spans="5:6">
      <c r="E935" s="125">
        <f ca="1"/>
        <v>0.35878286861800845</v>
      </c>
      <c r="F935" s="126">
        <f ca="1"/>
        <v>0.77936379777124065</v>
      </c>
    </row>
    <row r="936" spans="5:6">
      <c r="E936" s="125">
        <f ca="1"/>
        <v>-0.26492898054923614</v>
      </c>
      <c r="F936" s="126">
        <f ca="1"/>
        <v>-0.2484384426209271</v>
      </c>
    </row>
    <row r="937" spans="5:6">
      <c r="E937" s="125">
        <f ca="1"/>
        <v>-0.38514411063243742</v>
      </c>
      <c r="F937" s="126">
        <f ca="1"/>
        <v>0.30574671953263721</v>
      </c>
    </row>
    <row r="938" spans="5:6">
      <c r="E938" s="125">
        <f ca="1"/>
        <v>-1.3311135115879917</v>
      </c>
      <c r="F938" s="126">
        <f ca="1"/>
        <v>-1.0832874227608236</v>
      </c>
    </row>
    <row r="939" spans="5:6">
      <c r="E939" s="125">
        <f ca="1"/>
        <v>-0.41593394196892314</v>
      </c>
      <c r="F939" s="126">
        <f ca="1"/>
        <v>1.0805672858900686</v>
      </c>
    </row>
    <row r="940" spans="5:6">
      <c r="E940" s="125">
        <f ca="1"/>
        <v>-0.60348684203378555</v>
      </c>
      <c r="F940" s="126">
        <f ca="1"/>
        <v>-1.3596085000564486</v>
      </c>
    </row>
    <row r="941" spans="5:6">
      <c r="E941" s="125">
        <f ca="1"/>
        <v>-1.6689470167722735</v>
      </c>
      <c r="F941" s="126">
        <f ca="1"/>
        <v>-1.8377234854620852</v>
      </c>
    </row>
    <row r="942" spans="5:6">
      <c r="E942" s="125">
        <f ca="1"/>
        <v>-1.3661753431365495</v>
      </c>
      <c r="F942" s="126">
        <f ca="1"/>
        <v>0.90923226325022921</v>
      </c>
    </row>
    <row r="943" spans="5:6">
      <c r="E943" s="125">
        <f ca="1"/>
        <v>0.11868627205307963</v>
      </c>
      <c r="F943" s="126">
        <f ca="1"/>
        <v>0.25842240441889308</v>
      </c>
    </row>
    <row r="944" spans="5:6">
      <c r="E944" s="125">
        <f ca="1"/>
        <v>1.9830028447579422</v>
      </c>
      <c r="F944" s="126">
        <f ca="1"/>
        <v>0.96148012745357447</v>
      </c>
    </row>
    <row r="945" spans="5:6">
      <c r="E945" s="125">
        <f ca="1"/>
        <v>0.33955965836422591</v>
      </c>
      <c r="F945" s="126">
        <f ca="1"/>
        <v>1.0473030512272796</v>
      </c>
    </row>
    <row r="946" spans="5:6">
      <c r="E946" s="125">
        <f ca="1"/>
        <v>1.2807369108235562</v>
      </c>
      <c r="F946" s="126">
        <f ca="1"/>
        <v>1.3238017935434654</v>
      </c>
    </row>
    <row r="947" spans="5:6">
      <c r="E947" s="125">
        <f ca="1"/>
        <v>0.67495752791104946</v>
      </c>
      <c r="F947" s="126">
        <f ca="1"/>
        <v>0.66762767618718288</v>
      </c>
    </row>
    <row r="948" spans="5:6">
      <c r="E948" s="125">
        <f ca="1"/>
        <v>0.96930704182309846</v>
      </c>
      <c r="F948" s="126">
        <f ca="1"/>
        <v>1.2307811200877095E-2</v>
      </c>
    </row>
    <row r="949" spans="5:6">
      <c r="E949" s="125">
        <f ca="1"/>
        <v>0.22589041703542367</v>
      </c>
      <c r="F949" s="126">
        <f ca="1"/>
        <v>-1.6809184231541124E-2</v>
      </c>
    </row>
    <row r="950" spans="5:6">
      <c r="E950" s="125">
        <f ca="1"/>
        <v>2.0418447029558178</v>
      </c>
      <c r="F950" s="126">
        <f ca="1"/>
        <v>0.54871722567136061</v>
      </c>
    </row>
    <row r="951" spans="5:6">
      <c r="E951" s="125">
        <f ca="1"/>
        <v>1.5282236969986316</v>
      </c>
      <c r="F951" s="126">
        <f ca="1"/>
        <v>0.32682148315005205</v>
      </c>
    </row>
    <row r="952" spans="5:6">
      <c r="E952" s="125">
        <f ca="1"/>
        <v>0.24669680789681875</v>
      </c>
      <c r="F952" s="126">
        <f ca="1"/>
        <v>-0.76350088937204963</v>
      </c>
    </row>
    <row r="953" spans="5:6">
      <c r="E953" s="125">
        <f ca="1"/>
        <v>-0.27601408143542433</v>
      </c>
      <c r="F953" s="126">
        <f ca="1"/>
        <v>-0.28748624238889903</v>
      </c>
    </row>
    <row r="954" spans="5:6">
      <c r="E954" s="125">
        <f ca="1"/>
        <v>0.46725031041465409</v>
      </c>
      <c r="F954" s="126">
        <f ca="1"/>
        <v>-0.22060077442365469</v>
      </c>
    </row>
    <row r="955" spans="5:6">
      <c r="E955" s="125">
        <f ca="1"/>
        <v>0.56515057534851254</v>
      </c>
      <c r="F955" s="126">
        <f ca="1"/>
        <v>0.22885705280342583</v>
      </c>
    </row>
    <row r="956" spans="5:6">
      <c r="E956" s="125">
        <f ca="1"/>
        <v>-0.76669744648645599</v>
      </c>
      <c r="F956" s="126">
        <f ca="1"/>
        <v>-1.302218868967453</v>
      </c>
    </row>
    <row r="957" spans="5:6">
      <c r="E957" s="125">
        <f ca="1"/>
        <v>1.1231540971168574</v>
      </c>
      <c r="F957" s="126">
        <f ca="1"/>
        <v>0.95929831264750343</v>
      </c>
    </row>
    <row r="958" spans="5:6">
      <c r="E958" s="125">
        <f ca="1"/>
        <v>1.4469290359816005</v>
      </c>
      <c r="F958" s="126">
        <f ca="1"/>
        <v>2.3535340129116298</v>
      </c>
    </row>
    <row r="959" spans="5:6">
      <c r="E959" s="125">
        <f ca="1"/>
        <v>-1.778907445979655</v>
      </c>
      <c r="F959" s="126">
        <f ca="1"/>
        <v>-0.42581497806757695</v>
      </c>
    </row>
    <row r="960" spans="5:6">
      <c r="E960" s="125">
        <f ca="1"/>
        <v>-1.7681029579411152</v>
      </c>
      <c r="F960" s="126">
        <f ca="1"/>
        <v>1.9877342608725646E-2</v>
      </c>
    </row>
    <row r="961" spans="5:6">
      <c r="E961" s="125">
        <f ca="1"/>
        <v>0.48864957643417783</v>
      </c>
      <c r="F961" s="126">
        <f ca="1"/>
        <v>-4.5066659867507852E-3</v>
      </c>
    </row>
    <row r="962" spans="5:6">
      <c r="E962" s="125">
        <f ca="1"/>
        <v>0.33750507311236355</v>
      </c>
      <c r="F962" s="126">
        <f ca="1"/>
        <v>-0.10889646325645919</v>
      </c>
    </row>
    <row r="963" spans="5:6">
      <c r="E963" s="125">
        <f ca="1"/>
        <v>-0.31936023861956814</v>
      </c>
      <c r="F963" s="126">
        <f ca="1"/>
        <v>-1.8776710144462527E-2</v>
      </c>
    </row>
    <row r="964" spans="5:6">
      <c r="E964" s="125">
        <f ca="1"/>
        <v>-1.7541072476280659</v>
      </c>
      <c r="F964" s="126">
        <f ca="1"/>
        <v>-0.12596208313222901</v>
      </c>
    </row>
    <row r="965" spans="5:6">
      <c r="E965" s="125">
        <f ca="1"/>
        <v>0.25927991362533931</v>
      </c>
      <c r="F965" s="126">
        <f ca="1"/>
        <v>0.19213930348456204</v>
      </c>
    </row>
    <row r="966" spans="5:6">
      <c r="E966" s="125">
        <f ca="1"/>
        <v>1.9327298541495113</v>
      </c>
      <c r="F966" s="126">
        <f ca="1"/>
        <v>2.0138538698417277</v>
      </c>
    </row>
    <row r="967" spans="5:6">
      <c r="E967" s="125">
        <f ca="1"/>
        <v>0.64351262679725696</v>
      </c>
      <c r="F967" s="126">
        <f ca="1"/>
        <v>0.35771277929199524</v>
      </c>
    </row>
    <row r="968" spans="5:6">
      <c r="E968" s="125">
        <f ca="1"/>
        <v>1.1532688571458041</v>
      </c>
      <c r="F968" s="126">
        <f ca="1"/>
        <v>-1.8143256110990853</v>
      </c>
    </row>
    <row r="969" spans="5:6">
      <c r="E969" s="125">
        <f ca="1"/>
        <v>-1.5142687121399654</v>
      </c>
      <c r="F969" s="126">
        <f ca="1"/>
        <v>-0.99888341956105131</v>
      </c>
    </row>
    <row r="970" spans="5:6">
      <c r="E970" s="125">
        <f ca="1"/>
        <v>9.3657313354139071E-3</v>
      </c>
      <c r="F970" s="126">
        <f ca="1"/>
        <v>6.2606480445846881E-3</v>
      </c>
    </row>
    <row r="971" spans="5:6">
      <c r="E971" s="125">
        <f ca="1"/>
        <v>0.38557483358552824</v>
      </c>
      <c r="F971" s="126">
        <f ca="1"/>
        <v>-1.1538883098057298</v>
      </c>
    </row>
    <row r="972" spans="5:6">
      <c r="E972" s="125">
        <f ca="1"/>
        <v>0.22593533424321491</v>
      </c>
      <c r="F972" s="126">
        <f ca="1"/>
        <v>-1.3041518321915366</v>
      </c>
    </row>
    <row r="973" spans="5:6">
      <c r="E973" s="125">
        <f ca="1"/>
        <v>0.76168351430322701</v>
      </c>
      <c r="F973" s="126">
        <f ca="1"/>
        <v>1.4035080023826385</v>
      </c>
    </row>
    <row r="974" spans="5:6">
      <c r="E974" s="125">
        <f ca="1"/>
        <v>-0.58039105067212826</v>
      </c>
      <c r="F974" s="126">
        <f ca="1"/>
        <v>-0.39522193205552114</v>
      </c>
    </row>
    <row r="975" spans="5:6">
      <c r="E975" s="125">
        <f ca="1"/>
        <v>-1.3181407812017736</v>
      </c>
      <c r="F975" s="126">
        <f ca="1"/>
        <v>-1.7245687166242389</v>
      </c>
    </row>
    <row r="976" spans="5:6">
      <c r="E976" s="125">
        <f ca="1"/>
        <v>-1.0231638950514022</v>
      </c>
      <c r="F976" s="126">
        <f ca="1"/>
        <v>0.24965949648201513</v>
      </c>
    </row>
    <row r="977" spans="5:6">
      <c r="E977" s="125">
        <f ca="1"/>
        <v>-6.7789339578903249E-2</v>
      </c>
      <c r="F977" s="126">
        <f ca="1"/>
        <v>-0.94700536475265829</v>
      </c>
    </row>
    <row r="978" spans="5:6">
      <c r="E978" s="125">
        <f ca="1"/>
        <v>0.95150358888955644</v>
      </c>
      <c r="F978" s="126">
        <f ca="1"/>
        <v>0.95244949694782033</v>
      </c>
    </row>
    <row r="979" spans="5:6">
      <c r="E979" s="125">
        <f ca="1"/>
        <v>0.63059911393088619</v>
      </c>
      <c r="F979" s="126">
        <f ca="1"/>
        <v>0.382668636203292</v>
      </c>
    </row>
    <row r="980" spans="5:6">
      <c r="E980" s="125">
        <f ca="1"/>
        <v>-1.120080058425128</v>
      </c>
      <c r="F980" s="126">
        <f ca="1"/>
        <v>-0.14960897512614979</v>
      </c>
    </row>
    <row r="981" spans="5:6">
      <c r="E981" s="125">
        <f ca="1"/>
        <v>4.6759125972955999E-2</v>
      </c>
      <c r="F981" s="126">
        <f ca="1"/>
        <v>-5.696904162514424E-2</v>
      </c>
    </row>
    <row r="982" spans="5:6">
      <c r="E982" s="125">
        <f ca="1"/>
        <v>-1.1159900985096232</v>
      </c>
      <c r="F982" s="126">
        <f ca="1"/>
        <v>-0.12047010173571632</v>
      </c>
    </row>
    <row r="983" spans="5:6">
      <c r="E983" s="125">
        <f ca="1"/>
        <v>0.68413868864105554</v>
      </c>
      <c r="F983" s="126">
        <f ca="1"/>
        <v>-0.5003489707840949</v>
      </c>
    </row>
    <row r="984" spans="5:6">
      <c r="E984" s="125">
        <f ca="1"/>
        <v>-0.40080738660924131</v>
      </c>
      <c r="F984" s="126">
        <f ca="1"/>
        <v>0.53809411787176487</v>
      </c>
    </row>
    <row r="985" spans="5:6">
      <c r="E985" s="125">
        <f ca="1"/>
        <v>-2.1345196731122989E-4</v>
      </c>
      <c r="F985" s="126">
        <f ca="1"/>
        <v>0.38398688023280592</v>
      </c>
    </row>
    <row r="986" spans="5:6">
      <c r="E986" s="125">
        <f ca="1"/>
        <v>2.2622125708748788</v>
      </c>
      <c r="F986" s="126">
        <f ca="1"/>
        <v>1.7117496008113526</v>
      </c>
    </row>
    <row r="987" spans="5:6">
      <c r="E987" s="125">
        <f ca="1"/>
        <v>0.29203214597627164</v>
      </c>
      <c r="F987" s="126">
        <f ca="1"/>
        <v>-0.1268538863018899</v>
      </c>
    </row>
    <row r="988" spans="5:6">
      <c r="E988" s="125">
        <f ca="1"/>
        <v>-4.1913607793197277E-2</v>
      </c>
      <c r="F988" s="126">
        <f ca="1"/>
        <v>-8.4902347913987791E-2</v>
      </c>
    </row>
    <row r="989" spans="5:6">
      <c r="E989" s="125">
        <f ca="1"/>
        <v>0.47679028465583795</v>
      </c>
      <c r="F989" s="126">
        <f ca="1"/>
        <v>0.44298094673181887</v>
      </c>
    </row>
    <row r="990" spans="5:6">
      <c r="E990" s="125">
        <f ca="1"/>
        <v>-0.50290001122079087</v>
      </c>
      <c r="F990" s="126">
        <f ca="1"/>
        <v>0.37929060940425163</v>
      </c>
    </row>
    <row r="991" spans="5:6">
      <c r="E991" s="125">
        <f ca="1"/>
        <v>1.5502126375389775</v>
      </c>
      <c r="F991" s="126">
        <f ca="1"/>
        <v>1.4850844326096082</v>
      </c>
    </row>
    <row r="992" spans="5:6">
      <c r="E992" s="125">
        <f ca="1"/>
        <v>-0.6742358308147739</v>
      </c>
      <c r="F992" s="126">
        <f ca="1"/>
        <v>-0.7031170984452968</v>
      </c>
    </row>
    <row r="993" spans="5:6">
      <c r="E993" s="125">
        <f ca="1"/>
        <v>-0.31112641316221434</v>
      </c>
      <c r="F993" s="126">
        <f ca="1"/>
        <v>9.1714870281294797E-2</v>
      </c>
    </row>
    <row r="994" spans="5:6">
      <c r="E994" s="125">
        <f ca="1"/>
        <v>0.77732044425776636</v>
      </c>
      <c r="F994" s="126">
        <f ca="1"/>
        <v>-0.65458176145659619</v>
      </c>
    </row>
    <row r="995" spans="5:6">
      <c r="E995" s="125">
        <f ca="1"/>
        <v>3.7062361358497553E-2</v>
      </c>
      <c r="F995" s="126">
        <f ca="1"/>
        <v>1.4701749971175762</v>
      </c>
    </row>
    <row r="996" spans="5:6">
      <c r="E996" s="125">
        <f ca="1"/>
        <v>-1.0528896254639253</v>
      </c>
      <c r="F996" s="126">
        <f ca="1"/>
        <v>-0.47733143421277457</v>
      </c>
    </row>
    <row r="997" spans="5:6">
      <c r="E997" s="125">
        <f ca="1"/>
        <v>1.1429043347470784</v>
      </c>
      <c r="F997" s="126">
        <f ca="1"/>
        <v>1.7579805816383987</v>
      </c>
    </row>
    <row r="998" spans="5:6">
      <c r="E998" s="125">
        <f ca="1"/>
        <v>-0.15490310091825113</v>
      </c>
      <c r="F998" s="126">
        <f ca="1"/>
        <v>0.44487417717625788</v>
      </c>
    </row>
    <row r="999" spans="5:6">
      <c r="E999" s="125">
        <f ca="1"/>
        <v>2.4883574669753692</v>
      </c>
      <c r="F999" s="126">
        <f ca="1"/>
        <v>1.8018586684956188</v>
      </c>
    </row>
    <row r="1000" spans="5:6">
      <c r="E1000" s="125">
        <f ca="1"/>
        <v>1.1173303792085347</v>
      </c>
      <c r="F1000" s="126">
        <f ca="1"/>
        <v>1.4336234482304842</v>
      </c>
    </row>
    <row r="1001" spans="5:6">
      <c r="E1001" s="125">
        <f ca="1"/>
        <v>1.7669560206216963</v>
      </c>
      <c r="F1001" s="126">
        <f ca="1"/>
        <v>1.7396255739815545</v>
      </c>
    </row>
    <row r="1002" spans="5:6">
      <c r="E1002" s="125">
        <f ca="1"/>
        <v>-2.1998169952171409</v>
      </c>
      <c r="F1002" s="126">
        <f ca="1"/>
        <v>-3.3339852212524508</v>
      </c>
    </row>
    <row r="1003" spans="5:6">
      <c r="E1003" s="125">
        <f ca="1"/>
        <v>0.22821491843325686</v>
      </c>
      <c r="F1003" s="126">
        <f ca="1"/>
        <v>-1.2626589576689478</v>
      </c>
    </row>
    <row r="1004" spans="5:6">
      <c r="E1004" s="125">
        <f ca="1"/>
        <v>0.69806845053199618</v>
      </c>
      <c r="F1004" s="126">
        <f ca="1"/>
        <v>-1.4136992272416438</v>
      </c>
    </row>
    <row r="1005" spans="5:6">
      <c r="E1005" s="125">
        <f ca="1"/>
        <v>-0.3541576285259454</v>
      </c>
      <c r="F1005" s="126">
        <f ca="1"/>
        <v>1.2225082181549258</v>
      </c>
    </row>
    <row r="1006" spans="5:6">
      <c r="E1006" s="125">
        <f ca="1"/>
        <v>2.0335284786029693</v>
      </c>
      <c r="F1006" s="126">
        <f ca="1"/>
        <v>0.86122854831880924</v>
      </c>
    </row>
    <row r="1007" spans="5:6">
      <c r="E1007" s="125">
        <f ca="1"/>
        <v>-0.66509513510413576</v>
      </c>
      <c r="F1007" s="126">
        <f ca="1"/>
        <v>0.39760016288803762</v>
      </c>
    </row>
    <row r="1008" spans="5:6">
      <c r="E1008" s="125">
        <f ca="1"/>
        <v>-0.72881213789416555</v>
      </c>
      <c r="F1008" s="126">
        <f ca="1"/>
        <v>-0.99907857173604087</v>
      </c>
    </row>
    <row r="1009" spans="5:6">
      <c r="E1009" s="125">
        <f ca="1"/>
        <v>2.8289924598023791E-2</v>
      </c>
      <c r="F1009" s="126">
        <f ca="1"/>
        <v>0.35047268144541294</v>
      </c>
    </row>
    <row r="1010" spans="5:6">
      <c r="E1010" s="125">
        <f ca="1"/>
        <v>0.64539548267882985</v>
      </c>
      <c r="F1010" s="126">
        <f ca="1"/>
        <v>1.9755747787938427E-3</v>
      </c>
    </row>
    <row r="1011" spans="5:6">
      <c r="E1011" s="125">
        <f ca="1"/>
        <v>8.5112472924015581E-2</v>
      </c>
      <c r="F1011" s="126">
        <f ca="1"/>
        <v>-0.74738058956393727</v>
      </c>
    </row>
    <row r="1012" spans="5:6">
      <c r="E1012" s="125">
        <f ca="1"/>
        <v>0.84267896935954034</v>
      </c>
      <c r="F1012" s="126">
        <f ca="1"/>
        <v>-0.72211598959218137</v>
      </c>
    </row>
    <row r="1013" spans="5:6">
      <c r="E1013" s="125">
        <f ca="1"/>
        <v>0.68929760386056871</v>
      </c>
      <c r="F1013" s="126">
        <f ca="1"/>
        <v>0.10073170694802638</v>
      </c>
    </row>
    <row r="1014" spans="5:6">
      <c r="E1014" s="125">
        <f ca="1"/>
        <v>1.1321780423235346</v>
      </c>
      <c r="F1014" s="126">
        <f ca="1"/>
        <v>1.0816940254081588</v>
      </c>
    </row>
    <row r="1015" spans="5:6">
      <c r="E1015" s="125">
        <f ca="1"/>
        <v>0.62652909585114003</v>
      </c>
      <c r="F1015" s="126">
        <f ca="1"/>
        <v>1.4738569659228484</v>
      </c>
    </row>
    <row r="1016" spans="5:6">
      <c r="E1016" s="125">
        <f ca="1"/>
        <v>0.51306589709082862</v>
      </c>
      <c r="F1016" s="126">
        <f ca="1"/>
        <v>-0.77771859601033266</v>
      </c>
    </row>
    <row r="1017" spans="5:6">
      <c r="E1017" s="125">
        <f ca="1"/>
        <v>-0.18964552163107656</v>
      </c>
      <c r="F1017" s="126">
        <f ca="1"/>
        <v>-0.26405227546656501</v>
      </c>
    </row>
    <row r="1018" spans="5:6">
      <c r="E1018" s="125">
        <f ca="1"/>
        <v>-0.76875289510145228</v>
      </c>
      <c r="F1018" s="126">
        <f ca="1"/>
        <v>-0.3395074829213201</v>
      </c>
    </row>
    <row r="1019" spans="5:6">
      <c r="E1019" s="125">
        <f ca="1"/>
        <v>0.70793696451262678</v>
      </c>
      <c r="F1019" s="126">
        <f ca="1"/>
        <v>1.1213983304431185</v>
      </c>
    </row>
    <row r="1020" spans="5:6">
      <c r="E1020" s="125">
        <f ca="1"/>
        <v>-1.3960032854408593</v>
      </c>
      <c r="F1020" s="126">
        <f ca="1"/>
        <v>0.92553608528290221</v>
      </c>
    </row>
    <row r="1021" spans="5:6">
      <c r="E1021" s="125">
        <f ca="1"/>
        <v>-1.5491067085448353</v>
      </c>
      <c r="F1021" s="126">
        <f ca="1"/>
        <v>-2.7090124091914931</v>
      </c>
    </row>
    <row r="1022" spans="5:6">
      <c r="E1022" s="125">
        <f ca="1"/>
        <v>0.14879171329011839</v>
      </c>
      <c r="F1022" s="126">
        <f ca="1"/>
        <v>1.0107116606679134</v>
      </c>
    </row>
    <row r="1023" spans="5:6">
      <c r="E1023" s="125">
        <f ca="1"/>
        <v>0.35053171503284275</v>
      </c>
      <c r="F1023" s="126">
        <f ca="1"/>
        <v>-0.2684987504374266</v>
      </c>
    </row>
    <row r="1024" spans="5:6">
      <c r="E1024" s="125">
        <f ca="1"/>
        <v>0.14945613610375211</v>
      </c>
      <c r="F1024" s="126">
        <f ca="1"/>
        <v>-1.0903628377157439</v>
      </c>
    </row>
    <row r="1025" spans="5:6">
      <c r="E1025" s="125">
        <f ca="1"/>
        <v>-0.80201950649396447</v>
      </c>
      <c r="F1025" s="126">
        <f ca="1"/>
        <v>-1.2366953716010141</v>
      </c>
    </row>
    <row r="1026" spans="5:6">
      <c r="E1026" s="125">
        <f ca="1"/>
        <v>-0.25423996076315747</v>
      </c>
      <c r="F1026" s="126">
        <f ca="1"/>
        <v>-1.426494048052859</v>
      </c>
    </row>
    <row r="1027" spans="5:6">
      <c r="E1027" s="125">
        <f ca="1"/>
        <v>-1.7759911689892622</v>
      </c>
      <c r="F1027" s="126">
        <f ca="1"/>
        <v>-0.22000611666203151</v>
      </c>
    </row>
    <row r="1028" spans="5:6">
      <c r="E1028" s="125">
        <f ca="1"/>
        <v>0.11548781505500413</v>
      </c>
      <c r="F1028" s="126">
        <f ca="1"/>
        <v>0.22737076760992347</v>
      </c>
    </row>
    <row r="1029" spans="5:6">
      <c r="E1029" s="125">
        <f ca="1"/>
        <v>0.85400309247564354</v>
      </c>
      <c r="F1029" s="126">
        <f ca="1"/>
        <v>1.0655824396157778</v>
      </c>
    </row>
    <row r="1030" spans="5:6">
      <c r="E1030" s="125">
        <f ca="1"/>
        <v>-0.96862847862716228</v>
      </c>
      <c r="F1030" s="126">
        <f ca="1"/>
        <v>-0.50949484591215488</v>
      </c>
    </row>
    <row r="1031" spans="5:6">
      <c r="E1031" s="125">
        <f ca="1"/>
        <v>-0.23549379943611096</v>
      </c>
      <c r="F1031" s="126">
        <f ca="1"/>
        <v>0.23468852281025837</v>
      </c>
    </row>
    <row r="1032" spans="5:6">
      <c r="E1032" s="125">
        <f ca="1"/>
        <v>-0.94087386737967837</v>
      </c>
      <c r="F1032" s="126">
        <f ca="1"/>
        <v>-0.94573493206026626</v>
      </c>
    </row>
    <row r="1033" spans="5:6">
      <c r="E1033" s="125">
        <f ca="1"/>
        <v>1.2657470744069375</v>
      </c>
      <c r="F1033" s="126">
        <f ca="1"/>
        <v>-1.0309263158436361</v>
      </c>
    </row>
    <row r="1034" spans="5:6">
      <c r="E1034" s="125">
        <f ca="1"/>
        <v>0.56741368244107493</v>
      </c>
      <c r="F1034" s="126">
        <f ca="1"/>
        <v>3.514292680607603E-2</v>
      </c>
    </row>
    <row r="1035" spans="5:6">
      <c r="E1035" s="125">
        <f ca="1"/>
        <v>-0.92068016777507278</v>
      </c>
      <c r="F1035" s="126">
        <f ca="1"/>
        <v>-0.18077186644999793</v>
      </c>
    </row>
    <row r="1036" spans="5:6">
      <c r="E1036" s="125">
        <f ca="1"/>
        <v>2.7255409183518378</v>
      </c>
      <c r="F1036" s="126">
        <f ca="1"/>
        <v>2.5418717122416012</v>
      </c>
    </row>
    <row r="1037" spans="5:6">
      <c r="E1037" s="125">
        <f ca="1"/>
        <v>6.0465688385382473E-2</v>
      </c>
      <c r="F1037" s="126">
        <f ca="1"/>
        <v>-0.20092510942400427</v>
      </c>
    </row>
    <row r="1038" spans="5:6">
      <c r="E1038" s="125">
        <f ca="1"/>
        <v>0.84512711038791299</v>
      </c>
      <c r="F1038" s="126">
        <f ca="1"/>
        <v>-0.33283306875655461</v>
      </c>
    </row>
    <row r="1039" spans="5:6">
      <c r="E1039" s="125">
        <f ca="1"/>
        <v>-1.3778856743729531</v>
      </c>
      <c r="F1039" s="126">
        <f ca="1"/>
        <v>-0.87479811778740757</v>
      </c>
    </row>
    <row r="1040" spans="5:6">
      <c r="E1040" s="125">
        <f ca="1"/>
        <v>-0.96966933587626758</v>
      </c>
      <c r="F1040" s="126">
        <f ca="1"/>
        <v>0.49793263945097921</v>
      </c>
    </row>
    <row r="1041" spans="5:6">
      <c r="E1041" s="125">
        <f ca="1"/>
        <v>-0.47619708070716682</v>
      </c>
      <c r="F1041" s="126">
        <f ca="1"/>
        <v>0.46145662846578622</v>
      </c>
    </row>
    <row r="1042" spans="5:6">
      <c r="E1042" s="125">
        <f ca="1"/>
        <v>0.75183520337339038</v>
      </c>
      <c r="F1042" s="126">
        <f ca="1"/>
        <v>1.7306750277955918</v>
      </c>
    </row>
    <row r="1043" spans="5:6">
      <c r="E1043" s="125">
        <f ca="1"/>
        <v>-0.30678695498986031</v>
      </c>
      <c r="F1043" s="126">
        <f ca="1"/>
        <v>0.15168929963534566</v>
      </c>
    </row>
    <row r="1044" spans="5:6">
      <c r="E1044" s="125">
        <f ca="1"/>
        <v>-0.55217072252273591</v>
      </c>
      <c r="F1044" s="126">
        <f ca="1"/>
        <v>0.86063028878541303</v>
      </c>
    </row>
    <row r="1045" spans="5:6">
      <c r="E1045" s="125">
        <f ca="1"/>
        <v>-0.39979936718423686</v>
      </c>
      <c r="F1045" s="126">
        <f ca="1"/>
        <v>-0.71370653176161847</v>
      </c>
    </row>
    <row r="1046" spans="5:6">
      <c r="E1046" s="125">
        <f ca="1"/>
        <v>1.4573738048953857</v>
      </c>
      <c r="F1046" s="126">
        <f ca="1"/>
        <v>0.42759069579865466</v>
      </c>
    </row>
    <row r="1047" spans="5:6">
      <c r="E1047" s="125">
        <f ca="1"/>
        <v>-1.0077286941559815</v>
      </c>
      <c r="F1047" s="126">
        <f ca="1"/>
        <v>-1.3173989197230505</v>
      </c>
    </row>
    <row r="1048" spans="5:6">
      <c r="E1048" s="125">
        <f ca="1"/>
        <v>-6.766777143905793E-2</v>
      </c>
      <c r="F1048" s="126">
        <f ca="1"/>
        <v>-0.3551134334389085</v>
      </c>
    </row>
    <row r="1049" spans="5:6">
      <c r="E1049" s="125">
        <f ca="1"/>
        <v>-0.30992035202386808</v>
      </c>
      <c r="F1049" s="126">
        <f ca="1"/>
        <v>-0.43600708653395448</v>
      </c>
    </row>
    <row r="1050" spans="5:6">
      <c r="E1050" s="125">
        <f ca="1"/>
        <v>-0.25847058562660241</v>
      </c>
      <c r="F1050" s="126">
        <f ca="1"/>
        <v>1.1322778773929314</v>
      </c>
    </row>
    <row r="1051" spans="5:6">
      <c r="E1051" s="125">
        <f ca="1"/>
        <v>-1.0108143407609758</v>
      </c>
      <c r="F1051" s="126">
        <f ca="1"/>
        <v>-1.292324703788938</v>
      </c>
    </row>
    <row r="1052" spans="5:6">
      <c r="E1052" s="125">
        <f ca="1"/>
        <v>-1.2841231577281325</v>
      </c>
      <c r="F1052" s="126">
        <f ca="1"/>
        <v>0.57619736820850176</v>
      </c>
    </row>
    <row r="1053" spans="5:6">
      <c r="E1053" s="125">
        <f ca="1"/>
        <v>0.86476300443060339</v>
      </c>
      <c r="F1053" s="126">
        <f ca="1"/>
        <v>0.56446788461309094</v>
      </c>
    </row>
    <row r="1054" spans="5:6">
      <c r="E1054" s="125">
        <f ca="1"/>
        <v>1.2637197782937051E-2</v>
      </c>
      <c r="F1054" s="126">
        <f ca="1"/>
        <v>-0.34806667667801394</v>
      </c>
    </row>
    <row r="1055" spans="5:6">
      <c r="E1055" s="125">
        <f ca="1"/>
        <v>0.96996681484234981</v>
      </c>
      <c r="F1055" s="126">
        <f ca="1"/>
        <v>1.0834011057858703</v>
      </c>
    </row>
    <row r="1056" spans="5:6">
      <c r="E1056" s="125">
        <f ca="1"/>
        <v>-1.352881684039861</v>
      </c>
      <c r="F1056" s="126">
        <f ca="1"/>
        <v>-1.5397719565325469</v>
      </c>
    </row>
    <row r="1057" spans="5:6">
      <c r="E1057" s="125">
        <f ca="1"/>
        <v>0.54746257292755396</v>
      </c>
      <c r="F1057" s="126">
        <f ca="1"/>
        <v>-0.36903819128092197</v>
      </c>
    </row>
    <row r="1058" spans="5:6">
      <c r="E1058" s="125">
        <f ca="1"/>
        <v>0.4810057334739149</v>
      </c>
      <c r="F1058" s="126">
        <f ca="1"/>
        <v>0.64308549903094137</v>
      </c>
    </row>
    <row r="1059" spans="5:6">
      <c r="E1059" s="125">
        <f ca="1"/>
        <v>1.2543119877268241</v>
      </c>
      <c r="F1059" s="126">
        <f ca="1"/>
        <v>1.0828506478482536</v>
      </c>
    </row>
    <row r="1060" spans="5:6">
      <c r="E1060" s="125">
        <f ca="1"/>
        <v>-1.0907065635271749</v>
      </c>
      <c r="F1060" s="126">
        <f ca="1"/>
        <v>-0.68738371248069607</v>
      </c>
    </row>
    <row r="1061" spans="5:6">
      <c r="E1061" s="125">
        <f ca="1"/>
        <v>-0.57586171744543591</v>
      </c>
      <c r="F1061" s="126">
        <f ca="1"/>
        <v>-0.42964846395570255</v>
      </c>
    </row>
    <row r="1062" spans="5:6">
      <c r="E1062" s="125">
        <f ca="1"/>
        <v>-7.5107117368445039E-2</v>
      </c>
      <c r="F1062" s="126">
        <f ca="1"/>
        <v>3.395100060958612E-2</v>
      </c>
    </row>
    <row r="1063" spans="5:6">
      <c r="E1063" s="125">
        <f ca="1"/>
        <v>0.67243416477857554</v>
      </c>
      <c r="F1063" s="126">
        <f ca="1"/>
        <v>0.52204596706434647</v>
      </c>
    </row>
    <row r="1064" spans="5:6">
      <c r="E1064" s="125">
        <f ca="1"/>
        <v>-0.68233077081513216</v>
      </c>
      <c r="F1064" s="126">
        <f ca="1"/>
        <v>4.689874187884302E-3</v>
      </c>
    </row>
    <row r="1065" spans="5:6">
      <c r="E1065" s="125">
        <f ca="1"/>
        <v>0.202829617628388</v>
      </c>
      <c r="F1065" s="126">
        <f ca="1"/>
        <v>0.39890092425258605</v>
      </c>
    </row>
    <row r="1066" spans="5:6">
      <c r="E1066" s="125">
        <f ca="1"/>
        <v>3.2891605692585819</v>
      </c>
      <c r="F1066" s="126">
        <f ca="1"/>
        <v>3.0543292412093006</v>
      </c>
    </row>
    <row r="1067" spans="5:6">
      <c r="E1067" s="125">
        <f ca="1"/>
        <v>0.26802025360337417</v>
      </c>
      <c r="F1067" s="126">
        <f ca="1"/>
        <v>-1.5013334732750012</v>
      </c>
    </row>
    <row r="1068" spans="5:6">
      <c r="E1068" s="125">
        <f ca="1"/>
        <v>-0.60530746193241947</v>
      </c>
      <c r="F1068" s="126">
        <f ca="1"/>
        <v>-0.35467989668212541</v>
      </c>
    </row>
    <row r="1069" spans="5:6">
      <c r="E1069" s="125">
        <f ca="1"/>
        <v>1.6521590511209454</v>
      </c>
      <c r="F1069" s="126">
        <f ca="1"/>
        <v>0.62284189125775313</v>
      </c>
    </row>
    <row r="1070" spans="5:6">
      <c r="E1070" s="125">
        <f ca="1"/>
        <v>0.21512810827851075</v>
      </c>
      <c r="F1070" s="126">
        <f ca="1"/>
        <v>-5.5159522106398517E-2</v>
      </c>
    </row>
    <row r="1071" spans="5:6">
      <c r="E1071" s="125">
        <f ca="1"/>
        <v>-1.7593663378135522</v>
      </c>
      <c r="F1071" s="126">
        <f ca="1"/>
        <v>-1.1892297791500146</v>
      </c>
    </row>
    <row r="1072" spans="5:6">
      <c r="E1072" s="125">
        <f ca="1"/>
        <v>-2.1860931990288535</v>
      </c>
      <c r="F1072" s="126">
        <f ca="1"/>
        <v>-1.6695954241530404</v>
      </c>
    </row>
    <row r="1073" spans="5:6">
      <c r="E1073" s="125">
        <f ca="1"/>
        <v>-1.1467559763061839</v>
      </c>
      <c r="F1073" s="126">
        <f ca="1"/>
        <v>-0.9785816400230678</v>
      </c>
    </row>
    <row r="1074" spans="5:6">
      <c r="E1074" s="125">
        <f ca="1"/>
        <v>0.28218677824140337</v>
      </c>
      <c r="F1074" s="126">
        <f ca="1"/>
        <v>6.6597956280619069E-2</v>
      </c>
    </row>
    <row r="1075" spans="5:6">
      <c r="E1075" s="125">
        <f ca="1"/>
        <v>-0.67588357626587392</v>
      </c>
      <c r="F1075" s="126">
        <f ca="1"/>
        <v>-0.56754009203020228</v>
      </c>
    </row>
    <row r="1076" spans="5:6">
      <c r="E1076" s="125">
        <f ca="1"/>
        <v>2.739528079159069E-2</v>
      </c>
      <c r="F1076" s="126">
        <f ca="1"/>
        <v>0.15717705740627533</v>
      </c>
    </row>
    <row r="1077" spans="5:6">
      <c r="E1077" s="125">
        <f ca="1"/>
        <v>-0.46053942671286535</v>
      </c>
      <c r="F1077" s="126">
        <f ca="1"/>
        <v>-0.15515739831031372</v>
      </c>
    </row>
    <row r="1078" spans="5:6">
      <c r="E1078" s="125">
        <f ca="1"/>
        <v>-4.312872449996006E-2</v>
      </c>
      <c r="F1078" s="126">
        <f ca="1"/>
        <v>8.6737966598677239E-3</v>
      </c>
    </row>
    <row r="1079" spans="5:6">
      <c r="E1079" s="125">
        <f ca="1"/>
        <v>-0.44929716110418394</v>
      </c>
      <c r="F1079" s="126">
        <f ca="1"/>
        <v>-1.7587138083726293</v>
      </c>
    </row>
    <row r="1080" spans="5:6">
      <c r="E1080" s="125">
        <f ca="1"/>
        <v>-0.24599293287787138</v>
      </c>
      <c r="F1080" s="126">
        <f ca="1"/>
        <v>-1.0888107402002967</v>
      </c>
    </row>
    <row r="1081" spans="5:6">
      <c r="E1081" s="125">
        <f ca="1"/>
        <v>8.19582857885435E-2</v>
      </c>
      <c r="F1081" s="126">
        <f ca="1"/>
        <v>0.46719749540315297</v>
      </c>
    </row>
    <row r="1082" spans="5:6">
      <c r="E1082" s="125">
        <f ca="1"/>
        <v>1.2217496339352116</v>
      </c>
      <c r="F1082" s="126">
        <f ca="1"/>
        <v>1.6275531049253971</v>
      </c>
    </row>
    <row r="1083" spans="5:6">
      <c r="E1083" s="125">
        <f ca="1"/>
        <v>0.19611957355647883</v>
      </c>
      <c r="F1083" s="126">
        <f ca="1"/>
        <v>-0.45968861582565396</v>
      </c>
    </row>
    <row r="1084" spans="5:6">
      <c r="E1084" s="125">
        <f ca="1"/>
        <v>-0.90284326312837548</v>
      </c>
      <c r="F1084" s="126">
        <f ca="1"/>
        <v>-0.83406739415465037</v>
      </c>
    </row>
    <row r="1085" spans="5:6">
      <c r="E1085" s="125">
        <f ca="1"/>
        <v>-0.93512874075065122</v>
      </c>
      <c r="F1085" s="126">
        <f ca="1"/>
        <v>-0.61793189198524423</v>
      </c>
    </row>
    <row r="1086" spans="5:6">
      <c r="E1086" s="125">
        <f ca="1"/>
        <v>0.50605573730671227</v>
      </c>
      <c r="F1086" s="126">
        <f ca="1"/>
        <v>-2.2963588369956875</v>
      </c>
    </row>
    <row r="1087" spans="5:6">
      <c r="E1087" s="125">
        <f ca="1"/>
        <v>-0.73663363212446187</v>
      </c>
      <c r="F1087" s="126">
        <f ca="1"/>
        <v>-1.6476277736914333</v>
      </c>
    </row>
    <row r="1088" spans="5:6">
      <c r="E1088" s="125">
        <f ca="1"/>
        <v>0.76414804306847606</v>
      </c>
      <c r="F1088" s="126">
        <f ca="1"/>
        <v>0.16141686581930406</v>
      </c>
    </row>
    <row r="1089" spans="5:6">
      <c r="E1089" s="125">
        <f ca="1"/>
        <v>-0.37525104438083684</v>
      </c>
      <c r="F1089" s="126">
        <f ca="1"/>
        <v>0.50036215134439654</v>
      </c>
    </row>
    <row r="1090" spans="5:6">
      <c r="E1090" s="125">
        <f ca="1"/>
        <v>0.62607250440698947</v>
      </c>
      <c r="F1090" s="126">
        <f ca="1"/>
        <v>-0.94026478448405382</v>
      </c>
    </row>
    <row r="1091" spans="5:6">
      <c r="E1091" s="125">
        <f ca="1"/>
        <v>1.8871225589305352</v>
      </c>
      <c r="F1091" s="126">
        <f ca="1"/>
        <v>6.470011817065302E-3</v>
      </c>
    </row>
    <row r="1092" spans="5:6">
      <c r="E1092" s="125">
        <f ca="1"/>
        <v>0.27138443215840408</v>
      </c>
      <c r="F1092" s="126">
        <f ca="1"/>
        <v>-1.3664982207844822</v>
      </c>
    </row>
    <row r="1093" spans="5:6">
      <c r="E1093" s="125">
        <f ca="1"/>
        <v>0.17601001469129171</v>
      </c>
      <c r="F1093" s="126">
        <f ca="1"/>
        <v>-0.72304768151381649</v>
      </c>
    </row>
    <row r="1094" spans="5:6">
      <c r="E1094" s="125">
        <f ca="1"/>
        <v>0.525564815793514</v>
      </c>
      <c r="F1094" s="126">
        <f ca="1"/>
        <v>8.0219357479038939E-2</v>
      </c>
    </row>
    <row r="1095" spans="5:6">
      <c r="E1095" s="125">
        <f ca="1"/>
        <v>-1.6245675568350666</v>
      </c>
      <c r="F1095" s="126">
        <f ca="1"/>
        <v>-0.67105364525878763</v>
      </c>
    </row>
    <row r="1096" spans="5:6">
      <c r="E1096" s="125">
        <f ca="1"/>
        <v>-0.70391216617415986</v>
      </c>
      <c r="F1096" s="126">
        <f ca="1"/>
        <v>0.22746050811041729</v>
      </c>
    </row>
    <row r="1097" spans="5:6">
      <c r="E1097" s="125">
        <f ca="1"/>
        <v>1.2063921492957652</v>
      </c>
      <c r="F1097" s="126">
        <f ca="1"/>
        <v>0.43658048517376324</v>
      </c>
    </row>
    <row r="1098" spans="5:6">
      <c r="E1098" s="125">
        <f ca="1"/>
        <v>-1.3713741630261815</v>
      </c>
      <c r="F1098" s="126">
        <f ca="1"/>
        <v>4.9346821716400258E-2</v>
      </c>
    </row>
    <row r="1099" spans="5:6">
      <c r="E1099" s="127">
        <f ca="1"/>
        <v>1.3595403253334262</v>
      </c>
      <c r="F1099" s="128">
        <f ca="1"/>
        <v>-1.5062132644018491</v>
      </c>
    </row>
  </sheetData>
  <conditionalFormatting sqref="E7:E8 I103 J100">
    <cfRule type="cellIs" dxfId="648" priority="106" stopIfTrue="1" operator="equal">
      <formula>"ERROR"</formula>
    </cfRule>
    <cfRule type="cellIs" dxfId="647" priority="107" stopIfTrue="1" operator="equal">
      <formula>"OK"</formula>
    </cfRule>
    <cfRule type="cellIs" dxfId="646" priority="108" stopIfTrue="1" operator="equal">
      <formula>"WARNING"</formula>
    </cfRule>
  </conditionalFormatting>
  <conditionalFormatting sqref="C4">
    <cfRule type="cellIs" dxfId="645" priority="103" stopIfTrue="1" operator="equal">
      <formula>"ERROR"</formula>
    </cfRule>
    <cfRule type="cellIs" dxfId="644" priority="104" stopIfTrue="1" operator="equal">
      <formula>"OK"</formula>
    </cfRule>
    <cfRule type="cellIs" dxfId="643" priority="105" stopIfTrue="1" operator="equal">
      <formula>"WARNING"</formula>
    </cfRule>
  </conditionalFormatting>
  <conditionalFormatting sqref="C15">
    <cfRule type="cellIs" dxfId="642" priority="100" stopIfTrue="1" operator="equal">
      <formula>"ERROR"</formula>
    </cfRule>
  </conditionalFormatting>
  <conditionalFormatting sqref="C15">
    <cfRule type="cellIs" dxfId="641" priority="101" stopIfTrue="1" operator="equal">
      <formula>"OK"</formula>
    </cfRule>
  </conditionalFormatting>
  <conditionalFormatting sqref="C15">
    <cfRule type="cellIs" dxfId="640" priority="102" stopIfTrue="1" operator="equal">
      <formula>"WARNING"</formula>
    </cfRule>
  </conditionalFormatting>
  <conditionalFormatting sqref="L20:N22">
    <cfRule type="cellIs" dxfId="639" priority="109" stopIfTrue="1" operator="equal">
      <formula>"ERROR"</formula>
    </cfRule>
    <cfRule type="cellIs" dxfId="638" priority="110" stopIfTrue="1" operator="equal">
      <formula>"OK"</formula>
    </cfRule>
    <cfRule type="cellIs" dxfId="637" priority="111" stopIfTrue="1" operator="equal">
      <formula>"WARNING"</formula>
    </cfRule>
  </conditionalFormatting>
  <conditionalFormatting sqref="E9">
    <cfRule type="cellIs" dxfId="636" priority="61" stopIfTrue="1" operator="equal">
      <formula>"ERROR"</formula>
    </cfRule>
    <cfRule type="cellIs" dxfId="635" priority="62" stopIfTrue="1" operator="equal">
      <formula>"OK"</formula>
    </cfRule>
    <cfRule type="cellIs" dxfId="634" priority="63" stopIfTrue="1" operator="equal">
      <formula>"WARNING"</formula>
    </cfRule>
  </conditionalFormatting>
  <conditionalFormatting sqref="Z20">
    <cfRule type="cellIs" dxfId="633" priority="58" stopIfTrue="1" operator="equal">
      <formula>"ERROR"</formula>
    </cfRule>
    <cfRule type="cellIs" dxfId="632" priority="59" stopIfTrue="1" operator="equal">
      <formula>"OK"</formula>
    </cfRule>
    <cfRule type="cellIs" dxfId="631" priority="60" stopIfTrue="1" operator="equal">
      <formula>"WARNING"</formula>
    </cfRule>
  </conditionalFormatting>
  <conditionalFormatting sqref="AL20">
    <cfRule type="cellIs" dxfId="630" priority="55" stopIfTrue="1" operator="equal">
      <formula>"ERROR"</formula>
    </cfRule>
    <cfRule type="cellIs" dxfId="629" priority="56" stopIfTrue="1" operator="equal">
      <formula>"OK"</formula>
    </cfRule>
    <cfRule type="cellIs" dxfId="628" priority="57" stopIfTrue="1" operator="equal">
      <formula>"WARNING"</formula>
    </cfRule>
  </conditionalFormatting>
  <conditionalFormatting sqref="AZ20">
    <cfRule type="cellIs" dxfId="627" priority="52" stopIfTrue="1" operator="equal">
      <formula>"ERROR"</formula>
    </cfRule>
    <cfRule type="cellIs" dxfId="626" priority="53" stopIfTrue="1" operator="equal">
      <formula>"OK"</formula>
    </cfRule>
    <cfRule type="cellIs" dxfId="625" priority="54" stopIfTrue="1" operator="equal">
      <formula>"WARNING"</formula>
    </cfRule>
  </conditionalFormatting>
  <conditionalFormatting sqref="C28">
    <cfRule type="cellIs" dxfId="624" priority="46" stopIfTrue="1" operator="equal">
      <formula>"ERROR"</formula>
    </cfRule>
  </conditionalFormatting>
  <conditionalFormatting sqref="C28">
    <cfRule type="cellIs" dxfId="623" priority="47" stopIfTrue="1" operator="equal">
      <formula>"OK"</formula>
    </cfRule>
  </conditionalFormatting>
  <conditionalFormatting sqref="C28">
    <cfRule type="cellIs" dxfId="622" priority="48" stopIfTrue="1" operator="equal">
      <formula>"WARNING"</formula>
    </cfRule>
  </conditionalFormatting>
  <conditionalFormatting sqref="L34:M35">
    <cfRule type="cellIs" dxfId="621" priority="49" stopIfTrue="1" operator="equal">
      <formula>"ERROR"</formula>
    </cfRule>
    <cfRule type="cellIs" dxfId="620" priority="50" stopIfTrue="1" operator="equal">
      <formula>"OK"</formula>
    </cfRule>
    <cfRule type="cellIs" dxfId="619" priority="51" stopIfTrue="1" operator="equal">
      <formula>"WARNING"</formula>
    </cfRule>
  </conditionalFormatting>
  <conditionalFormatting sqref="AB34:AD36">
    <cfRule type="cellIs" dxfId="618" priority="34" stopIfTrue="1" operator="equal">
      <formula>"ERROR"</formula>
    </cfRule>
    <cfRule type="cellIs" dxfId="617" priority="35" stopIfTrue="1" operator="equal">
      <formula>"OK"</formula>
    </cfRule>
    <cfRule type="cellIs" dxfId="616" priority="36" stopIfTrue="1" operator="equal">
      <formula>"WARNING"</formula>
    </cfRule>
  </conditionalFormatting>
  <conditionalFormatting sqref="C44">
    <cfRule type="cellIs" dxfId="615" priority="31" stopIfTrue="1" operator="equal">
      <formula>"ERROR"</formula>
    </cfRule>
  </conditionalFormatting>
  <conditionalFormatting sqref="C44">
    <cfRule type="cellIs" dxfId="614" priority="32" stopIfTrue="1" operator="equal">
      <formula>"OK"</formula>
    </cfRule>
  </conditionalFormatting>
  <conditionalFormatting sqref="C44">
    <cfRule type="cellIs" dxfId="613" priority="33" stopIfTrue="1" operator="equal">
      <formula>"WARNING"</formula>
    </cfRule>
  </conditionalFormatting>
  <conditionalFormatting sqref="J53:K53">
    <cfRule type="cellIs" dxfId="612" priority="28" stopIfTrue="1" operator="equal">
      <formula>"ERROR"</formula>
    </cfRule>
    <cfRule type="cellIs" dxfId="611" priority="29" stopIfTrue="1" operator="equal">
      <formula>"OK"</formula>
    </cfRule>
    <cfRule type="cellIs" dxfId="610" priority="30" stopIfTrue="1" operator="equal">
      <formula>"WARNING"</formula>
    </cfRule>
  </conditionalFormatting>
  <conditionalFormatting sqref="S53:T53">
    <cfRule type="cellIs" dxfId="609" priority="25" stopIfTrue="1" operator="equal">
      <formula>"ERROR"</formula>
    </cfRule>
    <cfRule type="cellIs" dxfId="608" priority="26" stopIfTrue="1" operator="equal">
      <formula>"OK"</formula>
    </cfRule>
    <cfRule type="cellIs" dxfId="607" priority="27" stopIfTrue="1" operator="equal">
      <formula>"WARNING"</formula>
    </cfRule>
  </conditionalFormatting>
  <conditionalFormatting sqref="AD53:AE53">
    <cfRule type="cellIs" dxfId="606" priority="16" stopIfTrue="1" operator="equal">
      <formula>"ERROR"</formula>
    </cfRule>
    <cfRule type="cellIs" dxfId="605" priority="17" stopIfTrue="1" operator="equal">
      <formula>"OK"</formula>
    </cfRule>
    <cfRule type="cellIs" dxfId="604" priority="18" stopIfTrue="1" operator="equal">
      <formula>"WARNING"</formula>
    </cfRule>
  </conditionalFormatting>
  <conditionalFormatting sqref="C95">
    <cfRule type="cellIs" dxfId="603" priority="13" stopIfTrue="1" operator="equal">
      <formula>"ERROR"</formula>
    </cfRule>
  </conditionalFormatting>
  <conditionalFormatting sqref="C95">
    <cfRule type="cellIs" dxfId="602" priority="14" stopIfTrue="1" operator="equal">
      <formula>"OK"</formula>
    </cfRule>
  </conditionalFormatting>
  <conditionalFormatting sqref="C95">
    <cfRule type="cellIs" dxfId="601" priority="15" stopIfTrue="1" operator="equal">
      <formula>"WARNING"</formula>
    </cfRule>
  </conditionalFormatting>
  <conditionalFormatting sqref="S103 U100">
    <cfRule type="cellIs" dxfId="600" priority="7" stopIfTrue="1" operator="equal">
      <formula>"ERROR"</formula>
    </cfRule>
    <cfRule type="cellIs" dxfId="599" priority="8" stopIfTrue="1" operator="equal">
      <formula>"OK"</formula>
    </cfRule>
    <cfRule type="cellIs" dxfId="598" priority="9" stopIfTrue="1" operator="equal">
      <formula>"WARNING"</formula>
    </cfRule>
  </conditionalFormatting>
  <conditionalFormatting sqref="E10">
    <cfRule type="cellIs" dxfId="597" priority="4" stopIfTrue="1" operator="equal">
      <formula>"ERROR"</formula>
    </cfRule>
    <cfRule type="cellIs" dxfId="596" priority="5" stopIfTrue="1" operator="equal">
      <formula>"OK"</formula>
    </cfRule>
    <cfRule type="cellIs" dxfId="595" priority="6" stopIfTrue="1" operator="equal">
      <formula>"WARNING"</formula>
    </cfRule>
  </conditionalFormatting>
  <conditionalFormatting sqref="AD103 AJ100">
    <cfRule type="cellIs" dxfId="594" priority="1" stopIfTrue="1" operator="equal">
      <formula>"ERROR"</formula>
    </cfRule>
    <cfRule type="cellIs" dxfId="593" priority="2" stopIfTrue="1" operator="equal">
      <formula>"OK"</formula>
    </cfRule>
    <cfRule type="cellIs" dxfId="59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aca="1" ref="C4" ca="1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395</v>
      </c>
      <c r="C7" s="415"/>
      <c r="D7" s="300" t="str">
        <f ca="1"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aca="1" ref="C12" ca="1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421</v>
      </c>
      <c r="C17" s="124">
        <v>120</v>
      </c>
      <c r="D17" s="298"/>
      <c r="E17" s="405" cm="1">
        <f t="array" aca="1" ref="E17" ca="1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aca="1" ref="I17" ca="1">_xll.d.TestUtils_Equal(E17,H17)</f>
        <v>Ok</v>
      </c>
      <c r="K17" s="441" t="s">
        <v>421</v>
      </c>
      <c r="L17" s="124">
        <v>120</v>
      </c>
      <c r="M17" s="298"/>
      <c r="N17" s="123" t="str" cm="1">
        <f t="array" aca="1" ref="N17:O20" ca="1">_xll.d.Equity_BlackScholesSpotOptionPricer(L17,L18,L19,L20,L21,L22,L23,L24,"VERBOSE")</f>
        <v>Price</v>
      </c>
      <c r="O17" s="576">
        <f ca="1"/>
        <v>49.931353791528799</v>
      </c>
      <c r="P17" s="123" t="s">
        <v>506</v>
      </c>
      <c r="Q17" s="576">
        <v>49.931353791528799</v>
      </c>
      <c r="R17" s="589" t="str" cm="1">
        <f t="array" aca="1" ref="R17" ca="1">_xll.d.TestUtils_Equal(N17,P17)</f>
        <v>Ok</v>
      </c>
      <c r="S17" s="589" t="str" cm="1">
        <f t="array" aca="1" ref="S17" ca="1">_xll.d.TestUtils_Equal(O17,Q17)</f>
        <v>Ok</v>
      </c>
      <c r="U17" s="441" t="s">
        <v>421</v>
      </c>
      <c r="V17" s="124">
        <v>120</v>
      </c>
      <c r="W17" s="298"/>
      <c r="X17" s="459" t="str" cm="1">
        <f t="array" aca="1" ref="X17" ca="1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aca="1" ref="AB17" ca="1">_xll.d.TestUtils_Equal(X17,Z17)</f>
        <v>Ok</v>
      </c>
      <c r="AD17" s="441" t="s">
        <v>421</v>
      </c>
      <c r="AE17" s="124">
        <v>120</v>
      </c>
      <c r="AF17" s="298"/>
      <c r="AG17" s="459" t="str" cm="1">
        <f t="array" aca="1" ref="AG17" ca="1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aca="1" ref="AK17" ca="1">_xll.d.TestUtils_Equal(AG17,AI17)</f>
        <v>Ok</v>
      </c>
    </row>
    <row r="18" spans="2:37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f ca="1"/>
        <v>d1</v>
      </c>
      <c r="O18" s="577">
        <f ca="1"/>
        <v>1.0422804977154678</v>
      </c>
      <c r="P18" s="125" t="s">
        <v>507</v>
      </c>
      <c r="Q18" s="577">
        <v>1.0422804977154678</v>
      </c>
      <c r="R18" s="589" t="str" cm="1">
        <f t="array" aca="1" ref="R18" ca="1">_xll.d.TestUtils_Equal(N18,P18)</f>
        <v>Ok</v>
      </c>
      <c r="S18" s="589" t="str" cm="1">
        <f t="array" aca="1" ref="S18" ca="1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f ca="1"/>
        <v>d2</v>
      </c>
      <c r="O19" s="577">
        <f ca="1"/>
        <v>0.29817029082404245</v>
      </c>
      <c r="P19" s="125" t="s">
        <v>508</v>
      </c>
      <c r="Q19" s="577">
        <v>0.29817029082404245</v>
      </c>
      <c r="R19" s="589" t="str" cm="1">
        <f t="array" aca="1" ref="R19" ca="1">_xll.d.TestUtils_Equal(N19,P19)</f>
        <v>Ok</v>
      </c>
      <c r="S19" s="589" t="str" cm="1">
        <f t="array" aca="1" ref="S19" ca="1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f ca="1"/>
        <v>Discount Factor</v>
      </c>
      <c r="O20" s="578">
        <f ca="1"/>
        <v>0.63635416972508707</v>
      </c>
      <c r="P20" s="127" t="s">
        <v>509</v>
      </c>
      <c r="Q20" s="578">
        <v>0.63635416972508707</v>
      </c>
      <c r="R20" s="589" t="str" cm="1">
        <f t="array" aca="1" ref="R20" ca="1">_xll.d.TestUtils_Equal(N20,P20)</f>
        <v>Ok</v>
      </c>
      <c r="S20" s="589" t="str" cm="1">
        <f t="array" aca="1" ref="S20" ca="1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>
      <c r="E27" s="299"/>
      <c r="F27" s="299"/>
      <c r="G27" s="299"/>
    </row>
  </sheetData>
  <conditionalFormatting sqref="D7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C4">
    <cfRule type="cellIs" dxfId="588" priority="49" stopIfTrue="1" operator="equal">
      <formula>"ERROR"</formula>
    </cfRule>
    <cfRule type="cellIs" dxfId="587" priority="50" stopIfTrue="1" operator="equal">
      <formula>"OK"</formula>
    </cfRule>
    <cfRule type="cellIs" dxfId="586" priority="51" stopIfTrue="1" operator="equal">
      <formula>"WARNING"</formula>
    </cfRule>
  </conditionalFormatting>
  <conditionalFormatting sqref="C12">
    <cfRule type="cellIs" dxfId="585" priority="46" stopIfTrue="1" operator="equal">
      <formula>"ERROR"</formula>
    </cfRule>
  </conditionalFormatting>
  <conditionalFormatting sqref="C12">
    <cfRule type="cellIs" dxfId="584" priority="47" stopIfTrue="1" operator="equal">
      <formula>"OK"</formula>
    </cfRule>
  </conditionalFormatting>
  <conditionalFormatting sqref="C12">
    <cfRule type="cellIs" dxfId="583" priority="48" stopIfTrue="1" operator="equal">
      <formula>"WARNING"</formula>
    </cfRule>
  </conditionalFormatting>
  <conditionalFormatting sqref="I17:J17 T17">
    <cfRule type="cellIs" dxfId="582" priority="58" stopIfTrue="1" operator="equal">
      <formula>"ERROR"</formula>
    </cfRule>
    <cfRule type="cellIs" dxfId="581" priority="59" stopIfTrue="1" operator="equal">
      <formula>"OK"</formula>
    </cfRule>
    <cfRule type="cellIs" dxfId="580" priority="60" stopIfTrue="1" operator="equal">
      <formula>"WARNING"</formula>
    </cfRule>
  </conditionalFormatting>
  <conditionalFormatting sqref="AB17">
    <cfRule type="cellIs" dxfId="579" priority="34" stopIfTrue="1" operator="equal">
      <formula>"ERROR"</formula>
    </cfRule>
    <cfRule type="cellIs" dxfId="578" priority="35" stopIfTrue="1" operator="equal">
      <formula>"OK"</formula>
    </cfRule>
    <cfRule type="cellIs" dxfId="577" priority="36" stopIfTrue="1" operator="equal">
      <formula>"WARNING"</formula>
    </cfRule>
  </conditionalFormatting>
  <conditionalFormatting sqref="AK17">
    <cfRule type="cellIs" dxfId="576" priority="28" stopIfTrue="1" operator="equal">
      <formula>"ERROR"</formula>
    </cfRule>
    <cfRule type="cellIs" dxfId="575" priority="29" stopIfTrue="1" operator="equal">
      <formula>"OK"</formula>
    </cfRule>
    <cfRule type="cellIs" dxfId="574" priority="30" stopIfTrue="1" operator="equal">
      <formula>"WARNING"</formula>
    </cfRule>
  </conditionalFormatting>
  <conditionalFormatting sqref="R17:S20">
    <cfRule type="cellIs" dxfId="573" priority="22" stopIfTrue="1" operator="equal">
      <formula>"ERROR"</formula>
    </cfRule>
    <cfRule type="cellIs" dxfId="572" priority="23" stopIfTrue="1" operator="equal">
      <formula>"OK"</formula>
    </cfRule>
    <cfRule type="cellIs" dxfId="571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>
      <selection activeCell="I23" sqref="A13:I23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389</v>
      </c>
    </row>
    <row r="2" spans="1:65" ht="26.25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aca="1" ref="C4" ca="1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396</v>
      </c>
      <c r="C7" s="415"/>
      <c r="D7" s="300" t="str">
        <f ca="1"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aca="1" ref="C12" ca="1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81" t="s">
        <v>707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398</v>
      </c>
      <c r="C17" s="301">
        <v>44104</v>
      </c>
      <c r="E17" s="430" cm="1">
        <f t="array" aca="1" ref="E17" ca="1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aca="1" ref="H17" ca="1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aca="1" ref="Q17" ca="1">_xll.d.Equity_Volatility(O17,O18,O19,O20,O21,C25:C1273,D25:D1273)</f>
        <v>#∂Excel Error: Invalid weighting style: ASDF</v>
      </c>
      <c r="R17" s="431" t="s">
        <v>416</v>
      </c>
      <c r="S17" s="310" t="str" cm="1">
        <f t="array" aca="1" ref="S17" ca="1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aca="1" ref="X17" ca="1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aca="1" ref="Z17" ca="1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399</v>
      </c>
      <c r="C18" s="313">
        <v>45930</v>
      </c>
      <c r="E18" s="298"/>
      <c r="F18" s="881" t="s">
        <v>668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/>
    <row r="23" spans="2:65" s="417" customFormat="1"/>
    <row r="24" spans="2:6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0" priority="55" stopIfTrue="1" operator="equal">
      <formula>"ERROR"</formula>
    </cfRule>
    <cfRule type="cellIs" dxfId="569" priority="56" stopIfTrue="1" operator="equal">
      <formula>"OK"</formula>
    </cfRule>
    <cfRule type="cellIs" dxfId="568" priority="57" stopIfTrue="1" operator="equal">
      <formula>"WARNING"</formula>
    </cfRule>
  </conditionalFormatting>
  <conditionalFormatting sqref="C4">
    <cfRule type="cellIs" dxfId="567" priority="52" stopIfTrue="1" operator="equal">
      <formula>"ERROR"</formula>
    </cfRule>
    <cfRule type="cellIs" dxfId="566" priority="53" stopIfTrue="1" operator="equal">
      <formula>"OK"</formula>
    </cfRule>
    <cfRule type="cellIs" dxfId="565" priority="54" stopIfTrue="1" operator="equal">
      <formula>"WARNING"</formula>
    </cfRule>
  </conditionalFormatting>
  <conditionalFormatting sqref="H17">
    <cfRule type="cellIs" dxfId="564" priority="58" stopIfTrue="1" operator="equal">
      <formula>"ERROR"</formula>
    </cfRule>
    <cfRule type="cellIs" dxfId="563" priority="59" stopIfTrue="1" operator="equal">
      <formula>"OK"</formula>
    </cfRule>
    <cfRule type="cellIs" dxfId="562" priority="60" stopIfTrue="1" operator="equal">
      <formula>"WARNING"</formula>
    </cfRule>
  </conditionalFormatting>
  <conditionalFormatting sqref="C12">
    <cfRule type="cellIs" dxfId="561" priority="46" stopIfTrue="1" operator="equal">
      <formula>"ERROR"</formula>
    </cfRule>
  </conditionalFormatting>
  <conditionalFormatting sqref="C12">
    <cfRule type="cellIs" dxfId="560" priority="47" stopIfTrue="1" operator="equal">
      <formula>"OK"</formula>
    </cfRule>
  </conditionalFormatting>
  <conditionalFormatting sqref="C12">
    <cfRule type="cellIs" dxfId="559" priority="48" stopIfTrue="1" operator="equal">
      <formula>"WARNING"</formula>
    </cfRule>
  </conditionalFormatting>
  <conditionalFormatting sqref="S17">
    <cfRule type="cellIs" dxfId="558" priority="10" stopIfTrue="1" operator="equal">
      <formula>"ERROR"</formula>
    </cfRule>
    <cfRule type="cellIs" dxfId="557" priority="11" stopIfTrue="1" operator="equal">
      <formula>"OK"</formula>
    </cfRule>
    <cfRule type="cellIs" dxfId="556" priority="12" stopIfTrue="1" operator="equal">
      <formula>"WARNING"</formula>
    </cfRule>
  </conditionalFormatting>
  <conditionalFormatting sqref="Z17">
    <cfRule type="cellIs" dxfId="555" priority="7" stopIfTrue="1" operator="equal">
      <formula>"ERROR"</formula>
    </cfRule>
    <cfRule type="cellIs" dxfId="554" priority="8" stopIfTrue="1" operator="equal">
      <formula>"OK"</formula>
    </cfRule>
    <cfRule type="cellIs" dxfId="553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aca="1" ref="C4" ca="1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 ca="1"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aca="1" ref="C12" ca="1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aca="1" ref="E17" ca="1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aca="1" ref="I17" ca="1">_xll.d.TestUtils_Equal(E17,H17)</f>
        <v>Ok</v>
      </c>
      <c r="K17" s="441" t="s">
        <v>526</v>
      </c>
      <c r="L17" s="124">
        <v>120</v>
      </c>
      <c r="M17" s="298"/>
      <c r="N17" s="123" t="str" cm="1">
        <f t="array" aca="1" ref="N17:O21" ca="1">_xll.d.FX_GarmanKohlhagenFXOptionPricer(L17,L18,L19,L20,L21,L22,L23,L24,"VERBOSE")</f>
        <v>Price</v>
      </c>
      <c r="O17" s="576">
        <f ca="1"/>
        <v>49.931353791528799</v>
      </c>
      <c r="P17" s="123" t="s">
        <v>506</v>
      </c>
      <c r="Q17" s="576">
        <v>49.931353791528799</v>
      </c>
      <c r="R17" s="589" t="str" cm="1">
        <f t="array" aca="1" ref="R17" ca="1">_xll.d.TestUtils_Equal(N17,P17)</f>
        <v>Ok</v>
      </c>
      <c r="S17" s="589" t="str" cm="1">
        <f t="array" aca="1" ref="S17" ca="1">_xll.d.TestUtils_Equal(O17,Q17)</f>
        <v>Ok</v>
      </c>
      <c r="U17" s="441" t="s">
        <v>526</v>
      </c>
      <c r="V17" s="124">
        <v>120</v>
      </c>
      <c r="W17" s="298"/>
      <c r="X17" s="459" t="str" cm="1">
        <f t="array" aca="1" ref="X17" ca="1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aca="1" ref="AB17" ca="1">_xll.d.TestUtils_Equal(X17,Z17)</f>
        <v>Ok</v>
      </c>
      <c r="AD17" s="441" t="s">
        <v>526</v>
      </c>
      <c r="AE17" s="124">
        <v>120</v>
      </c>
      <c r="AF17" s="298"/>
      <c r="AG17" s="459" t="str" cm="1">
        <f t="array" aca="1" ref="AG17" ca="1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aca="1" ref="AK17" ca="1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f ca="1"/>
        <v>d1</v>
      </c>
      <c r="O18" s="577">
        <f ca="1"/>
        <v>1.0422804977154678</v>
      </c>
      <c r="P18" s="125" t="s">
        <v>507</v>
      </c>
      <c r="Q18" s="577">
        <v>1.0422804977154678</v>
      </c>
      <c r="R18" s="589" t="str" cm="1">
        <f t="array" aca="1" ref="R18" ca="1">_xll.d.TestUtils_Equal(N18,P18)</f>
        <v>Ok</v>
      </c>
      <c r="S18" s="589" t="str" cm="1">
        <f t="array" aca="1" ref="S18" ca="1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f ca="1"/>
        <v>d2</v>
      </c>
      <c r="O19" s="577">
        <f ca="1"/>
        <v>0.29817029082404245</v>
      </c>
      <c r="P19" s="125" t="s">
        <v>508</v>
      </c>
      <c r="Q19" s="577">
        <v>0.29817029082404245</v>
      </c>
      <c r="R19" s="589" t="str" cm="1">
        <f t="array" aca="1" ref="R19" ca="1">_xll.d.TestUtils_Equal(N19,P19)</f>
        <v>Ok</v>
      </c>
      <c r="S19" s="589" t="str" cm="1">
        <f t="array" aca="1" ref="S19" ca="1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f ca="1"/>
        <v>Domestic Discount Factor</v>
      </c>
      <c r="O20" s="577">
        <f ca="1"/>
        <v>0.63635416972508707</v>
      </c>
      <c r="P20" s="125" t="s">
        <v>528</v>
      </c>
      <c r="Q20" s="577">
        <v>0.63635416972508707</v>
      </c>
      <c r="R20" s="589" t="str" cm="1">
        <f t="array" aca="1" ref="R20" ca="1">_xll.d.TestUtils_Equal(N20,P20)</f>
        <v>Ok</v>
      </c>
      <c r="S20" s="589" t="str" cm="1">
        <f t="array" aca="1" ref="S20" ca="1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f ca="1"/>
        <v>Foreign Discount Factor</v>
      </c>
      <c r="O21" s="578">
        <f ca="1"/>
        <v>0.8731918393784367</v>
      </c>
      <c r="P21" s="127" t="s">
        <v>529</v>
      </c>
      <c r="Q21" s="578">
        <v>0.8731918393784367</v>
      </c>
      <c r="R21" s="589" t="str" cm="1">
        <f t="array" aca="1" ref="R21" ca="1">_xll.d.TestUtils_Equal(N21,P21)</f>
        <v>Ok</v>
      </c>
      <c r="S21" s="589" t="str" cm="1">
        <f t="array" aca="1" ref="S21" ca="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90" t="s">
        <v>615</v>
      </c>
      <c r="C49" s="791"/>
      <c r="D49" s="953" t="s">
        <v>616</v>
      </c>
      <c r="E49" s="954"/>
      <c r="F49" s="954"/>
      <c r="G49" s="954"/>
      <c r="H49" s="954"/>
      <c r="I49" s="954"/>
      <c r="J49" s="954"/>
      <c r="K49" s="954"/>
      <c r="L49" s="954"/>
      <c r="M49" s="954"/>
      <c r="N49" s="954"/>
      <c r="O49" s="954"/>
      <c r="P49" s="954"/>
      <c r="Q49" s="955"/>
    </row>
    <row r="50" spans="2:17">
      <c r="B50" s="792"/>
      <c r="C50" s="793"/>
      <c r="D50" s="794" t="s">
        <v>617</v>
      </c>
      <c r="E50" s="794" t="s">
        <v>22</v>
      </c>
      <c r="F50" s="794" t="s">
        <v>618</v>
      </c>
      <c r="G50" s="794" t="s">
        <v>0</v>
      </c>
      <c r="H50" s="794" t="s">
        <v>619</v>
      </c>
      <c r="I50" s="794">
        <v>0.1</v>
      </c>
      <c r="J50" s="794">
        <v>0.15</v>
      </c>
      <c r="K50" s="794">
        <v>0.25</v>
      </c>
      <c r="L50" s="794">
        <v>0.35</v>
      </c>
      <c r="M50" s="794">
        <v>0.5</v>
      </c>
      <c r="N50" s="794">
        <v>0.65</v>
      </c>
      <c r="O50" s="794">
        <v>0.75</v>
      </c>
      <c r="P50" s="794">
        <v>0.85</v>
      </c>
      <c r="Q50" s="794">
        <v>0.9</v>
      </c>
    </row>
    <row r="51" spans="2:17">
      <c r="B51" s="956" t="s">
        <v>22</v>
      </c>
      <c r="C51" s="795" t="s">
        <v>620</v>
      </c>
      <c r="D51" s="796" t="s">
        <v>621</v>
      </c>
      <c r="E51" s="797" t="s">
        <v>622</v>
      </c>
      <c r="F51" s="797">
        <v>0</v>
      </c>
      <c r="G51" s="798">
        <v>44271</v>
      </c>
      <c r="H51" s="799">
        <v>0</v>
      </c>
      <c r="I51" s="800">
        <v>0.23735000000000001</v>
      </c>
      <c r="J51" s="800">
        <v>0.23036999999999999</v>
      </c>
      <c r="K51" s="800">
        <v>0.21776000000000001</v>
      </c>
      <c r="L51" s="800">
        <v>0.2089</v>
      </c>
      <c r="M51" s="800">
        <v>0.20050000000000001</v>
      </c>
      <c r="N51" s="800">
        <v>0.19572000000000001</v>
      </c>
      <c r="O51" s="800">
        <v>0.19381000000000001</v>
      </c>
      <c r="P51" s="800">
        <v>0.19347</v>
      </c>
      <c r="Q51" s="801">
        <v>0.19361999999999999</v>
      </c>
    </row>
    <row r="52" spans="2:17">
      <c r="B52" s="957"/>
      <c r="C52" s="802" t="s">
        <v>623</v>
      </c>
      <c r="D52" s="796" t="s">
        <v>624</v>
      </c>
      <c r="E52" s="797" t="s">
        <v>625</v>
      </c>
      <c r="F52" s="797">
        <v>1</v>
      </c>
      <c r="G52" s="798">
        <v>44278</v>
      </c>
      <c r="H52" s="799">
        <v>1.9178082191780823E-2</v>
      </c>
      <c r="I52" s="797">
        <v>0.23735000000000001</v>
      </c>
      <c r="J52" s="797">
        <v>0.23036999999999999</v>
      </c>
      <c r="K52" s="797">
        <v>0.21776000000000001</v>
      </c>
      <c r="L52" s="797">
        <v>0.2089</v>
      </c>
      <c r="M52" s="797">
        <v>0.20050000000000001</v>
      </c>
      <c r="N52" s="797">
        <v>0.19572000000000001</v>
      </c>
      <c r="O52" s="797">
        <v>0.19381000000000001</v>
      </c>
      <c r="P52" s="797">
        <v>0.19347</v>
      </c>
      <c r="Q52" s="803">
        <v>0.19361999999999999</v>
      </c>
    </row>
    <row r="53" spans="2:17">
      <c r="B53" s="957"/>
      <c r="C53" s="802" t="s">
        <v>626</v>
      </c>
      <c r="D53" s="796" t="s">
        <v>624</v>
      </c>
      <c r="E53" s="797" t="s">
        <v>625</v>
      </c>
      <c r="F53" s="797">
        <v>2</v>
      </c>
      <c r="G53" s="798">
        <v>44285</v>
      </c>
      <c r="H53" s="799">
        <v>3.8356164383561646E-2</v>
      </c>
      <c r="I53" s="797">
        <v>0.22594999999999998</v>
      </c>
      <c r="J53" s="797">
        <v>0.21847999999999998</v>
      </c>
      <c r="K53" s="797">
        <v>0.20504</v>
      </c>
      <c r="L53" s="797">
        <v>0.19561000000000001</v>
      </c>
      <c r="M53" s="797">
        <v>0.18652999999999997</v>
      </c>
      <c r="N53" s="797">
        <v>0.18160000000000001</v>
      </c>
      <c r="O53" s="797">
        <v>0.1794</v>
      </c>
      <c r="P53" s="797">
        <v>0.17873999999999998</v>
      </c>
      <c r="Q53" s="803">
        <v>0.17879999999999999</v>
      </c>
    </row>
    <row r="54" spans="2:17">
      <c r="B54" s="957"/>
      <c r="C54" s="802" t="s">
        <v>627</v>
      </c>
      <c r="D54" s="796" t="s">
        <v>624</v>
      </c>
      <c r="E54" s="797" t="s">
        <v>625</v>
      </c>
      <c r="F54" s="797">
        <v>3</v>
      </c>
      <c r="G54" s="798">
        <v>44292</v>
      </c>
      <c r="H54" s="799">
        <v>5.7534246575342465E-2</v>
      </c>
      <c r="I54" s="797">
        <v>0.22193000000000002</v>
      </c>
      <c r="J54" s="797">
        <v>0.21437999999999999</v>
      </c>
      <c r="K54" s="797">
        <v>0.20069999999999999</v>
      </c>
      <c r="L54" s="797">
        <v>0.19102</v>
      </c>
      <c r="M54" s="797">
        <v>0.18158000000000002</v>
      </c>
      <c r="N54" s="797">
        <v>0.17664000000000002</v>
      </c>
      <c r="O54" s="797">
        <v>0.17432999999999998</v>
      </c>
      <c r="P54" s="797">
        <v>0.17348</v>
      </c>
      <c r="Q54" s="803">
        <v>0.17341000000000001</v>
      </c>
    </row>
    <row r="55" spans="2:17">
      <c r="B55" s="957"/>
      <c r="C55" s="802" t="s">
        <v>628</v>
      </c>
      <c r="D55" s="796" t="s">
        <v>629</v>
      </c>
      <c r="E55" s="797" t="s">
        <v>630</v>
      </c>
      <c r="F55" s="797">
        <v>1</v>
      </c>
      <c r="G55" s="798">
        <v>44302</v>
      </c>
      <c r="H55" s="799">
        <v>8.4931506849315067E-2</v>
      </c>
      <c r="I55" s="797">
        <v>0.21949000000000002</v>
      </c>
      <c r="J55" s="797">
        <v>0.21193999999999999</v>
      </c>
      <c r="K55" s="797">
        <v>0.19812000000000002</v>
      </c>
      <c r="L55" s="797">
        <v>0.18825</v>
      </c>
      <c r="M55" s="797">
        <v>0.17850000000000002</v>
      </c>
      <c r="N55" s="797">
        <v>0.17361000000000001</v>
      </c>
      <c r="O55" s="797">
        <v>0.17122000000000001</v>
      </c>
      <c r="P55" s="797">
        <v>0.17024</v>
      </c>
      <c r="Q55" s="803">
        <v>0.17004999999999998</v>
      </c>
    </row>
    <row r="56" spans="2:17">
      <c r="B56" s="957"/>
      <c r="C56" s="802" t="s">
        <v>631</v>
      </c>
      <c r="D56" s="796" t="s">
        <v>629</v>
      </c>
      <c r="E56" s="797" t="s">
        <v>630</v>
      </c>
      <c r="F56" s="797">
        <v>2</v>
      </c>
      <c r="G56" s="798">
        <v>44333</v>
      </c>
      <c r="H56" s="799">
        <v>0.16986301369863013</v>
      </c>
      <c r="I56" s="797">
        <v>0.21809999999999999</v>
      </c>
      <c r="J56" s="797">
        <v>0.21034</v>
      </c>
      <c r="K56" s="797">
        <v>0.19597999999999999</v>
      </c>
      <c r="L56" s="797">
        <v>0.18550999999999998</v>
      </c>
      <c r="M56" s="797">
        <v>0.17475000000000002</v>
      </c>
      <c r="N56" s="797">
        <v>0.16995000000000002</v>
      </c>
      <c r="O56" s="797">
        <v>0.16721</v>
      </c>
      <c r="P56" s="797">
        <v>0.16556999999999999</v>
      </c>
      <c r="Q56" s="803">
        <v>0.16499</v>
      </c>
    </row>
    <row r="57" spans="2:17">
      <c r="B57" s="957"/>
      <c r="C57" s="802" t="s">
        <v>632</v>
      </c>
      <c r="D57" s="796" t="s">
        <v>629</v>
      </c>
      <c r="E57" s="797" t="s">
        <v>630</v>
      </c>
      <c r="F57" s="797">
        <v>3</v>
      </c>
      <c r="G57" s="798">
        <v>44364</v>
      </c>
      <c r="H57" s="799">
        <v>0.25479452054794521</v>
      </c>
      <c r="I57" s="797">
        <v>0.21678999999999998</v>
      </c>
      <c r="J57" s="797">
        <v>0.20879999999999999</v>
      </c>
      <c r="K57" s="797">
        <v>0.19389000000000001</v>
      </c>
      <c r="L57" s="797">
        <v>0.18296999999999999</v>
      </c>
      <c r="M57" s="797">
        <v>0.17149999999999999</v>
      </c>
      <c r="N57" s="797">
        <v>0.16674</v>
      </c>
      <c r="O57" s="797">
        <v>0.16377</v>
      </c>
      <c r="P57" s="797">
        <v>0.16194</v>
      </c>
      <c r="Q57" s="803">
        <v>0.16126000000000001</v>
      </c>
    </row>
    <row r="58" spans="2:17">
      <c r="B58" s="957"/>
      <c r="C58" s="802" t="s">
        <v>633</v>
      </c>
      <c r="D58" s="796" t="s">
        <v>629</v>
      </c>
      <c r="E58" s="797" t="s">
        <v>630</v>
      </c>
      <c r="F58" s="797">
        <v>6</v>
      </c>
      <c r="G58" s="798">
        <v>44455</v>
      </c>
      <c r="H58" s="799">
        <v>0.50410958904109593</v>
      </c>
      <c r="I58" s="797">
        <v>0.21841000000000002</v>
      </c>
      <c r="J58" s="797">
        <v>0.21010999999999999</v>
      </c>
      <c r="K58" s="797">
        <v>0.19431999999999999</v>
      </c>
      <c r="L58" s="797">
        <v>0.18254999999999999</v>
      </c>
      <c r="M58" s="797">
        <v>0.16975000000000001</v>
      </c>
      <c r="N58" s="797">
        <v>0.16550000000000001</v>
      </c>
      <c r="O58" s="797">
        <v>0.16238</v>
      </c>
      <c r="P58" s="797">
        <v>0.16031999999999999</v>
      </c>
      <c r="Q58" s="803">
        <v>0.15953000000000001</v>
      </c>
    </row>
    <row r="59" spans="2:17">
      <c r="B59" s="957"/>
      <c r="C59" s="802" t="s">
        <v>634</v>
      </c>
      <c r="D59" s="796" t="s">
        <v>352</v>
      </c>
      <c r="E59" s="797" t="s">
        <v>635</v>
      </c>
      <c r="F59" s="797">
        <v>1</v>
      </c>
      <c r="G59" s="798">
        <v>44636</v>
      </c>
      <c r="H59" s="799">
        <v>1</v>
      </c>
      <c r="I59" s="797">
        <v>0.21946000000000002</v>
      </c>
      <c r="J59" s="797">
        <v>0.21112999999999998</v>
      </c>
      <c r="K59" s="797">
        <v>0.19488</v>
      </c>
      <c r="L59" s="797">
        <v>0.18240999999999999</v>
      </c>
      <c r="M59" s="797">
        <v>0.16800000000000001</v>
      </c>
      <c r="N59" s="797">
        <v>0.16440000000000002</v>
      </c>
      <c r="O59" s="797">
        <v>0.16089999999999999</v>
      </c>
      <c r="P59" s="797">
        <v>0.15842000000000001</v>
      </c>
      <c r="Q59" s="803">
        <v>0.15742</v>
      </c>
    </row>
    <row r="60" spans="2:17">
      <c r="B60" s="957"/>
      <c r="C60" s="802" t="s">
        <v>636</v>
      </c>
      <c r="D60" s="804" t="s">
        <v>629</v>
      </c>
      <c r="E60" s="805" t="s">
        <v>630</v>
      </c>
      <c r="F60" s="805">
        <v>18</v>
      </c>
      <c r="G60" s="798">
        <v>44820</v>
      </c>
      <c r="H60" s="799">
        <v>1.5041095890410958</v>
      </c>
      <c r="I60" s="805">
        <v>0.22447</v>
      </c>
      <c r="J60" s="805">
        <v>0.21585000000000001</v>
      </c>
      <c r="K60" s="805">
        <v>0.19878000000000001</v>
      </c>
      <c r="L60" s="805">
        <v>0.18539999999999998</v>
      </c>
      <c r="M60" s="805">
        <v>0.16927</v>
      </c>
      <c r="N60" s="805">
        <v>0.1661</v>
      </c>
      <c r="O60" s="805">
        <v>0.16197</v>
      </c>
      <c r="P60" s="805">
        <v>0.15887000000000001</v>
      </c>
      <c r="Q60" s="806">
        <v>0.15762999999999999</v>
      </c>
    </row>
    <row r="61" spans="2:17">
      <c r="B61" s="957"/>
      <c r="C61" s="807" t="s">
        <v>637</v>
      </c>
      <c r="D61" s="808" t="s">
        <v>352</v>
      </c>
      <c r="E61" s="809" t="s">
        <v>635</v>
      </c>
      <c r="F61" s="809">
        <v>2</v>
      </c>
      <c r="G61" s="810">
        <v>45001</v>
      </c>
      <c r="H61" s="811">
        <v>2</v>
      </c>
      <c r="I61" s="809">
        <v>0.22708999999999999</v>
      </c>
      <c r="J61" s="809">
        <v>0.21848999999999999</v>
      </c>
      <c r="K61" s="809">
        <v>0.2011</v>
      </c>
      <c r="L61" s="809">
        <v>0.18716000000000002</v>
      </c>
      <c r="M61" s="809">
        <v>0.16975000000000001</v>
      </c>
      <c r="N61" s="809">
        <v>0.16710999999999998</v>
      </c>
      <c r="O61" s="809">
        <v>0.16262000000000001</v>
      </c>
      <c r="P61" s="809">
        <v>0.15914</v>
      </c>
      <c r="Q61" s="812">
        <v>0.15765999999999999</v>
      </c>
    </row>
    <row r="67" spans="5:5">
      <c r="E67" s="439" t="e" cm="1">
        <f t="array" aca="1" ref="E67" ca="1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C4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C12">
    <cfRule type="cellIs" dxfId="546" priority="10" stopIfTrue="1" operator="equal">
      <formula>"ERROR"</formula>
    </cfRule>
  </conditionalFormatting>
  <conditionalFormatting sqref="C12">
    <cfRule type="cellIs" dxfId="545" priority="11" stopIfTrue="1" operator="equal">
      <formula>"OK"</formula>
    </cfRule>
  </conditionalFormatting>
  <conditionalFormatting sqref="C12">
    <cfRule type="cellIs" dxfId="544" priority="12" stopIfTrue="1" operator="equal">
      <formula>"WARNING"</formula>
    </cfRule>
  </conditionalFormatting>
  <conditionalFormatting sqref="I17:J17 T17">
    <cfRule type="cellIs" dxfId="543" priority="19" stopIfTrue="1" operator="equal">
      <formula>"ERROR"</formula>
    </cfRule>
    <cfRule type="cellIs" dxfId="542" priority="20" stopIfTrue="1" operator="equal">
      <formula>"OK"</formula>
    </cfRule>
    <cfRule type="cellIs" dxfId="541" priority="21" stopIfTrue="1" operator="equal">
      <formula>"WARNING"</formula>
    </cfRule>
  </conditionalFormatting>
  <conditionalFormatting sqref="AB17">
    <cfRule type="cellIs" dxfId="540" priority="7" stopIfTrue="1" operator="equal">
      <formula>"ERROR"</formula>
    </cfRule>
    <cfRule type="cellIs" dxfId="539" priority="8" stopIfTrue="1" operator="equal">
      <formula>"OK"</formula>
    </cfRule>
    <cfRule type="cellIs" dxfId="538" priority="9" stopIfTrue="1" operator="equal">
      <formula>"WARNING"</formula>
    </cfRule>
  </conditionalFormatting>
  <conditionalFormatting sqref="AK17">
    <cfRule type="cellIs" dxfId="537" priority="4" stopIfTrue="1" operator="equal">
      <formula>"ERROR"</formula>
    </cfRule>
    <cfRule type="cellIs" dxfId="536" priority="5" stopIfTrue="1" operator="equal">
      <formula>"OK"</formula>
    </cfRule>
    <cfRule type="cellIs" dxfId="535" priority="6" stopIfTrue="1" operator="equal">
      <formula>"WARNING"</formula>
    </cfRule>
  </conditionalFormatting>
  <conditionalFormatting sqref="R17:S21">
    <cfRule type="cellIs" dxfId="534" priority="1" stopIfTrue="1" operator="equal">
      <formula>"ERROR"</formula>
    </cfRule>
    <cfRule type="cellIs" dxfId="533" priority="2" stopIfTrue="1" operator="equal">
      <formula>"OK"</formula>
    </cfRule>
    <cfRule type="cellIs" dxfId="532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aca="1" ref="C4" ca="1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 ca="1"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aca="1" ref="C12" ca="1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aca="1" ref="E17" ca="1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aca="1" ref="I17" ca="1">_xll.d.TestUtils_Equal(E17,H17)</f>
        <v>Ok</v>
      </c>
      <c r="K17" s="441" t="s">
        <v>526</v>
      </c>
      <c r="L17" s="124">
        <v>120</v>
      </c>
      <c r="M17" s="298"/>
      <c r="N17" s="123" t="str" cm="1">
        <f t="array" aca="1" ref="N17:O21" ca="1">_xll.d.FX_GarmanKohlhagenFXOptionPricer(L17,L18,L19,L20,L21,L22,L23,L24,"VERBOSE")</f>
        <v>Price</v>
      </c>
      <c r="O17" s="576">
        <f ca="1"/>
        <v>49.931353791528799</v>
      </c>
      <c r="P17" s="123" t="s">
        <v>506</v>
      </c>
      <c r="Q17" s="576">
        <v>49.931353791528799</v>
      </c>
      <c r="R17" s="589" t="str" cm="1">
        <f t="array" aca="1" ref="R17" ca="1">_xll.d.TestUtils_Equal(N17,P17)</f>
        <v>Ok</v>
      </c>
      <c r="S17" s="589" t="str" cm="1">
        <f t="array" aca="1" ref="S17" ca="1">_xll.d.TestUtils_Equal(O17,Q17)</f>
        <v>Ok</v>
      </c>
      <c r="U17" s="441" t="s">
        <v>526</v>
      </c>
      <c r="V17" s="124">
        <v>120</v>
      </c>
      <c r="W17" s="298"/>
      <c r="X17" s="459" t="str" cm="1">
        <f t="array" aca="1" ref="X17" ca="1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aca="1" ref="AB17" ca="1">_xll.d.TestUtils_Equal(X17,Z17)</f>
        <v>Ok</v>
      </c>
      <c r="AD17" s="441" t="s">
        <v>526</v>
      </c>
      <c r="AE17" s="124">
        <v>120</v>
      </c>
      <c r="AF17" s="298"/>
      <c r="AG17" s="459" t="str" cm="1">
        <f t="array" aca="1" ref="AG17" ca="1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aca="1" ref="AK17" ca="1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f ca="1"/>
        <v>d1</v>
      </c>
      <c r="O18" s="577">
        <f ca="1"/>
        <v>1.0422804977154678</v>
      </c>
      <c r="P18" s="125" t="s">
        <v>507</v>
      </c>
      <c r="Q18" s="577">
        <v>1.0422804977154678</v>
      </c>
      <c r="R18" s="589" t="str" cm="1">
        <f t="array" aca="1" ref="R18" ca="1">_xll.d.TestUtils_Equal(N18,P18)</f>
        <v>Ok</v>
      </c>
      <c r="S18" s="589" t="str" cm="1">
        <f t="array" aca="1" ref="S18" ca="1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f ca="1"/>
        <v>d2</v>
      </c>
      <c r="O19" s="577">
        <f ca="1"/>
        <v>0.29817029082404245</v>
      </c>
      <c r="P19" s="125" t="s">
        <v>508</v>
      </c>
      <c r="Q19" s="577">
        <v>0.29817029082404245</v>
      </c>
      <c r="R19" s="589" t="str" cm="1">
        <f t="array" aca="1" ref="R19" ca="1">_xll.d.TestUtils_Equal(N19,P19)</f>
        <v>Ok</v>
      </c>
      <c r="S19" s="589" t="str" cm="1">
        <f t="array" aca="1" ref="S19" ca="1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f ca="1"/>
        <v>Domestic Discount Factor</v>
      </c>
      <c r="O20" s="577">
        <f ca="1"/>
        <v>0.63635416972508707</v>
      </c>
      <c r="P20" s="125" t="s">
        <v>528</v>
      </c>
      <c r="Q20" s="577">
        <v>0.63635416972508707</v>
      </c>
      <c r="R20" s="589" t="str" cm="1">
        <f t="array" aca="1" ref="R20" ca="1">_xll.d.TestUtils_Equal(N20,P20)</f>
        <v>Ok</v>
      </c>
      <c r="S20" s="589" t="str" cm="1">
        <f t="array" aca="1" ref="S20" ca="1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f ca="1"/>
        <v>Foreign Discount Factor</v>
      </c>
      <c r="O21" s="578">
        <f ca="1"/>
        <v>0.8731918393784367</v>
      </c>
      <c r="P21" s="127" t="s">
        <v>529</v>
      </c>
      <c r="Q21" s="578">
        <v>0.8731918393784367</v>
      </c>
      <c r="R21" s="589" t="str" cm="1">
        <f t="array" aca="1" ref="R21" ca="1">_xll.d.TestUtils_Equal(N21,P21)</f>
        <v>Ok</v>
      </c>
      <c r="S21" s="589" t="str" cm="1">
        <f t="array" aca="1" ref="S21" ca="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91">
        <v>0.9</v>
      </c>
      <c r="F30" s="891">
        <v>0.85</v>
      </c>
      <c r="G30" s="891">
        <v>0.8</v>
      </c>
      <c r="H30" s="891">
        <v>0.75</v>
      </c>
      <c r="I30" s="891">
        <v>0.7</v>
      </c>
      <c r="J30" s="891">
        <v>0.65</v>
      </c>
      <c r="K30" s="891">
        <v>0.6</v>
      </c>
      <c r="L30" s="891">
        <v>0.55000000000000004</v>
      </c>
      <c r="M30" s="891">
        <v>0.5</v>
      </c>
      <c r="N30" s="891">
        <v>0.45</v>
      </c>
      <c r="O30" s="891">
        <v>0.4</v>
      </c>
      <c r="P30" s="891">
        <v>0.35</v>
      </c>
      <c r="Q30" s="891">
        <v>0.29999999999999899</v>
      </c>
      <c r="R30" s="891">
        <v>0.249999999999998</v>
      </c>
      <c r="S30" s="891">
        <v>0.19999999999999701</v>
      </c>
      <c r="T30" s="891">
        <v>0.149999999999996</v>
      </c>
      <c r="U30" s="891">
        <v>9.9999999999994996E-2</v>
      </c>
    </row>
    <row r="31" spans="2:37">
      <c r="B31" s="890" t="s">
        <v>620</v>
      </c>
      <c r="C31" s="8" cm="1">
        <f t="array" aca="1" ref="C31" ca="1">_xll.d.Dates_AddTenorToDate($B$28,B31,"ZAR","MODFOL")</f>
        <v>45019</v>
      </c>
      <c r="D31" s="892" cm="1">
        <f t="array" aca="1" ref="D31" ca="1">_xll.d.Dates_Act360($B$28,C31)</f>
        <v>8.3333333333333332E-3</v>
      </c>
      <c r="E31" s="890">
        <v>5.8049999999999997E-2</v>
      </c>
      <c r="F31" s="890">
        <v>5.6619999999999997E-2</v>
      </c>
      <c r="G31" s="890">
        <v>5.5640000000000002E-2</v>
      </c>
      <c r="H31" s="890">
        <v>5.4900000000000004E-2</v>
      </c>
      <c r="I31" s="890">
        <v>5.4320000000000007E-2</v>
      </c>
      <c r="J31" s="890">
        <v>5.3859999999999998E-2</v>
      </c>
      <c r="K31" s="890">
        <v>5.3499999999999999E-2</v>
      </c>
      <c r="L31" s="890">
        <v>5.3200000000000004E-2</v>
      </c>
      <c r="M31" s="890">
        <v>5.2969999999999996E-2</v>
      </c>
      <c r="N31" s="890">
        <v>5.2809999999999996E-2</v>
      </c>
      <c r="O31" s="890">
        <v>5.2699999999999997E-2</v>
      </c>
      <c r="P31" s="890">
        <v>5.2670000000000002E-2</v>
      </c>
      <c r="Q31" s="890">
        <v>5.2720000000000003E-2</v>
      </c>
      <c r="R31" s="890">
        <v>5.287E-2</v>
      </c>
      <c r="S31" s="890">
        <v>5.3170000000000002E-2</v>
      </c>
      <c r="T31" s="890">
        <v>5.3699999999999998E-2</v>
      </c>
      <c r="U31" s="890">
        <v>5.4699999999999999E-2</v>
      </c>
    </row>
    <row r="32" spans="2:37">
      <c r="B32" s="890" t="s">
        <v>623</v>
      </c>
      <c r="C32" s="8" cm="1">
        <f t="array" aca="1" ref="C32" ca="1">_xll.d.Dates_AddTenorToDate($B$28,B32,"ZAR","MODFOL")</f>
        <v>45027</v>
      </c>
      <c r="D32" s="892" cm="1">
        <f t="array" aca="1" ref="D32" ca="1">_xll.d.Dates_Act360($B$28,C32)</f>
        <v>3.0555555555555555E-2</v>
      </c>
      <c r="E32" s="890">
        <v>8.5220000000000004E-2</v>
      </c>
      <c r="F32" s="890">
        <v>8.3699999999999997E-2</v>
      </c>
      <c r="G32" s="890">
        <v>8.2650000000000001E-2</v>
      </c>
      <c r="H32" s="890">
        <v>8.1839999999999996E-2</v>
      </c>
      <c r="I32" s="890">
        <v>8.1210000000000004E-2</v>
      </c>
      <c r="J32" s="890">
        <v>8.0690000000000012E-2</v>
      </c>
      <c r="K32" s="890">
        <v>8.0269999999999994E-2</v>
      </c>
      <c r="L32" s="890">
        <v>7.9930000000000001E-2</v>
      </c>
      <c r="M32" s="890">
        <v>7.9660000000000009E-2</v>
      </c>
      <c r="N32" s="890">
        <v>7.9460000000000003E-2</v>
      </c>
      <c r="O32" s="890">
        <v>7.9310000000000005E-2</v>
      </c>
      <c r="P32" s="890">
        <v>7.9240000000000005E-2</v>
      </c>
      <c r="Q32" s="890">
        <v>7.9250000000000001E-2</v>
      </c>
      <c r="R32" s="890">
        <v>7.9369999999999996E-2</v>
      </c>
      <c r="S32" s="890">
        <v>7.9640000000000002E-2</v>
      </c>
      <c r="T32" s="890">
        <v>8.0139999999999989E-2</v>
      </c>
      <c r="U32" s="890">
        <v>8.1089999999999995E-2</v>
      </c>
    </row>
    <row r="33" spans="2:76">
      <c r="B33" s="890" t="s">
        <v>626</v>
      </c>
      <c r="C33" s="8" cm="1">
        <f t="array" aca="1" ref="C33" ca="1">_xll.d.Dates_AddTenorToDate($B$28,B33,"ZAR","MODFOL")</f>
        <v>45030</v>
      </c>
      <c r="D33" s="892" cm="1">
        <f t="array" aca="1" ref="D33" ca="1">_xll.d.Dates_Act360($B$28,C33)</f>
        <v>3.888888888888889E-2</v>
      </c>
      <c r="E33" s="890">
        <v>9.11E-2</v>
      </c>
      <c r="F33" s="890">
        <v>8.9469999999999994E-2</v>
      </c>
      <c r="G33" s="890">
        <v>8.8249999999999995E-2</v>
      </c>
      <c r="H33" s="890">
        <v>8.727E-2</v>
      </c>
      <c r="I33" s="890">
        <v>8.6449999999999999E-2</v>
      </c>
      <c r="J33" s="890">
        <v>8.5760000000000003E-2</v>
      </c>
      <c r="K33" s="890">
        <v>8.5169999999999996E-2</v>
      </c>
      <c r="L33" s="890">
        <v>8.4680000000000005E-2</v>
      </c>
      <c r="M33" s="890">
        <v>8.43E-2</v>
      </c>
      <c r="N33" s="890">
        <v>8.4010000000000001E-2</v>
      </c>
      <c r="O33" s="890">
        <v>8.3819999999999992E-2</v>
      </c>
      <c r="P33" s="890">
        <v>8.3729999999999999E-2</v>
      </c>
      <c r="Q33" s="890">
        <v>8.3750000000000005E-2</v>
      </c>
      <c r="R33" s="890">
        <v>8.387E-2</v>
      </c>
      <c r="S33" s="890">
        <v>8.410999999999999E-2</v>
      </c>
      <c r="T33" s="890">
        <v>8.4499999999999992E-2</v>
      </c>
      <c r="U33" s="890">
        <v>8.5099999999999995E-2</v>
      </c>
    </row>
    <row r="34" spans="2:76">
      <c r="B34" s="890" t="s">
        <v>628</v>
      </c>
      <c r="C34" s="8" cm="1">
        <f t="array" aca="1" ref="C34" ca="1">_xll.d.Dates_AddTenorToDate($B$28,B34,"ZAR","MODFOL")</f>
        <v>45044</v>
      </c>
      <c r="D34" s="892" cm="1">
        <f t="array" aca="1" ref="D34" ca="1">_xll.d.Dates_Act360($B$28,C34)</f>
        <v>7.7777777777777779E-2</v>
      </c>
      <c r="E34" s="890">
        <v>8.4700000000000011E-2</v>
      </c>
      <c r="F34" s="890">
        <v>8.2589999999999997E-2</v>
      </c>
      <c r="G34" s="890">
        <v>8.1069999999999989E-2</v>
      </c>
      <c r="H34" s="890">
        <v>7.9880000000000007E-2</v>
      </c>
      <c r="I34" s="890">
        <v>7.893E-2</v>
      </c>
      <c r="J34" s="890">
        <v>7.8140000000000001E-2</v>
      </c>
      <c r="K34" s="890">
        <v>7.7499999999999999E-2</v>
      </c>
      <c r="L34" s="890">
        <v>7.6969999999999997E-2</v>
      </c>
      <c r="M34" s="890">
        <v>7.6550000000000007E-2</v>
      </c>
      <c r="N34" s="890">
        <v>7.6230000000000006E-2</v>
      </c>
      <c r="O34" s="890">
        <v>7.5990000000000002E-2</v>
      </c>
      <c r="P34" s="890">
        <v>7.5850000000000001E-2</v>
      </c>
      <c r="Q34" s="890">
        <v>7.5810000000000002E-2</v>
      </c>
      <c r="R34" s="890">
        <v>7.5880000000000003E-2</v>
      </c>
      <c r="S34" s="890">
        <v>7.6100000000000001E-2</v>
      </c>
      <c r="T34" s="890">
        <v>7.6499999999999999E-2</v>
      </c>
      <c r="U34" s="890">
        <v>7.7199999999999991E-2</v>
      </c>
    </row>
    <row r="35" spans="2:76">
      <c r="B35" s="890" t="s">
        <v>631</v>
      </c>
      <c r="C35" s="8" cm="1">
        <f t="array" aca="1" ref="C35" ca="1">_xll.d.Dates_AddTenorToDate($B$28,B35,"ZAR","MODFOL")</f>
        <v>45077</v>
      </c>
      <c r="D35" s="892" cm="1">
        <f t="array" aca="1" ref="D35" ca="1">_xll.d.Dates_Act360($B$28,C35)</f>
        <v>0.16944444444444445</v>
      </c>
      <c r="E35" s="890">
        <v>9.0370000000000006E-2</v>
      </c>
      <c r="F35" s="890">
        <v>8.77E-2</v>
      </c>
      <c r="G35" s="890">
        <v>8.5739999999999997E-2</v>
      </c>
      <c r="H35" s="890">
        <v>8.4190000000000001E-2</v>
      </c>
      <c r="I35" s="890">
        <v>8.2919999999999994E-2</v>
      </c>
      <c r="J35" s="890">
        <v>8.1869999999999998E-2</v>
      </c>
      <c r="K35" s="890">
        <v>8.0990000000000006E-2</v>
      </c>
      <c r="L35" s="890">
        <v>8.0259999999999998E-2</v>
      </c>
      <c r="M35" s="890">
        <v>7.9699999999999993E-2</v>
      </c>
      <c r="N35" s="890">
        <v>7.9259999999999997E-2</v>
      </c>
      <c r="O35" s="890">
        <v>7.8920000000000004E-2</v>
      </c>
      <c r="P35" s="890">
        <v>7.8710000000000002E-2</v>
      </c>
      <c r="Q35" s="890">
        <v>7.8630000000000005E-2</v>
      </c>
      <c r="R35" s="890">
        <v>7.8689999999999996E-2</v>
      </c>
      <c r="S35" s="890">
        <v>7.8899999999999998E-2</v>
      </c>
      <c r="T35" s="890">
        <v>7.9310000000000005E-2</v>
      </c>
      <c r="U35" s="890">
        <v>8.0020000000000008E-2</v>
      </c>
    </row>
    <row r="36" spans="2:76">
      <c r="B36" s="890" t="s">
        <v>632</v>
      </c>
      <c r="C36" s="8" cm="1">
        <f t="array" aca="1" ref="C36" ca="1">_xll.d.Dates_AddTenorToDate($B$28,B36,"ZAR","MODFOL")</f>
        <v>45107</v>
      </c>
      <c r="D36" s="892" cm="1">
        <f t="array" aca="1" ref="D36" ca="1">_xll.d.Dates_Act360($B$28,C36)</f>
        <v>0.25277777777777777</v>
      </c>
      <c r="E36" s="890">
        <v>9.2950000000000005E-2</v>
      </c>
      <c r="F36" s="890">
        <v>8.9540000000000008E-2</v>
      </c>
      <c r="G36" s="890">
        <v>8.7120000000000003E-2</v>
      </c>
      <c r="H36" s="890">
        <v>8.5260000000000002E-2</v>
      </c>
      <c r="I36" s="890">
        <v>8.3780000000000007E-2</v>
      </c>
      <c r="J36" s="890">
        <v>8.2569999999999991E-2</v>
      </c>
      <c r="K36" s="890">
        <v>8.1570000000000004E-2</v>
      </c>
      <c r="L36" s="890">
        <v>8.0749999999999988E-2</v>
      </c>
      <c r="M36" s="890">
        <v>8.0129999999999993E-2</v>
      </c>
      <c r="N36" s="890">
        <v>7.9619999999999996E-2</v>
      </c>
      <c r="O36" s="890">
        <v>7.9199999999999993E-2</v>
      </c>
      <c r="P36" s="890">
        <v>7.8909999999999994E-2</v>
      </c>
      <c r="Q36" s="890">
        <v>7.8750000000000001E-2</v>
      </c>
      <c r="R36" s="890">
        <v>7.8750000000000001E-2</v>
      </c>
      <c r="S36" s="890">
        <v>7.8949999999999992E-2</v>
      </c>
      <c r="T36" s="890">
        <v>7.9399999999999998E-2</v>
      </c>
      <c r="U36" s="890">
        <v>8.0299999999999996E-2</v>
      </c>
    </row>
    <row r="37" spans="2:76">
      <c r="B37" s="890" t="s">
        <v>633</v>
      </c>
      <c r="C37" s="8" cm="1">
        <f t="array" aca="1" ref="C37" ca="1">_xll.d.Dates_AddTenorToDate($B$28,B37,"ZAR","MODFOL")</f>
        <v>45198</v>
      </c>
      <c r="D37" s="892" cm="1">
        <f t="array" aca="1" ref="D37" ca="1">_xll.d.Dates_Act360($B$28,C37)</f>
        <v>0.50555555555555554</v>
      </c>
      <c r="E37" s="890">
        <v>9.7029999999999991E-2</v>
      </c>
      <c r="F37" s="890">
        <v>9.257E-2</v>
      </c>
      <c r="G37" s="890">
        <v>8.9369999999999991E-2</v>
      </c>
      <c r="H37" s="890">
        <v>8.6899999999999991E-2</v>
      </c>
      <c r="I37" s="890">
        <v>8.4900000000000003E-2</v>
      </c>
      <c r="J37" s="890">
        <v>8.3269999999999997E-2</v>
      </c>
      <c r="K37" s="890">
        <v>8.1910000000000011E-2</v>
      </c>
      <c r="L37" s="890">
        <v>8.0779999999999991E-2</v>
      </c>
      <c r="M37" s="890">
        <v>0.08</v>
      </c>
      <c r="N37" s="890">
        <v>7.934999999999999E-2</v>
      </c>
      <c r="O37" s="890">
        <v>7.8730000000000008E-2</v>
      </c>
      <c r="P37" s="890">
        <v>7.8289999999999998E-2</v>
      </c>
      <c r="Q37" s="890">
        <v>7.8030000000000002E-2</v>
      </c>
      <c r="R37" s="890">
        <v>7.7979999999999994E-2</v>
      </c>
      <c r="S37" s="890">
        <v>7.8189999999999996E-2</v>
      </c>
      <c r="T37" s="890">
        <v>7.8739999999999991E-2</v>
      </c>
      <c r="U37" s="890">
        <v>7.9839999999999994E-2</v>
      </c>
    </row>
    <row r="38" spans="2:76">
      <c r="B38" s="890" t="s">
        <v>675</v>
      </c>
      <c r="C38" s="8" cm="1">
        <f t="array" aca="1" ref="C38" ca="1">_xll.d.Dates_AddTenorToDate($B$28,B38,"ZAR","MODFOL")</f>
        <v>45289</v>
      </c>
      <c r="D38" s="892" cm="1">
        <f t="array" aca="1" ref="D38" ca="1">_xll.d.Dates_Act360($B$28,C38)</f>
        <v>0.7583333333333333</v>
      </c>
      <c r="E38" s="890">
        <v>9.8659999999999998E-2</v>
      </c>
      <c r="F38" s="890">
        <v>9.3829999999999997E-2</v>
      </c>
      <c r="G38" s="890">
        <v>9.0299999999999991E-2</v>
      </c>
      <c r="H38" s="890">
        <v>8.7520000000000001E-2</v>
      </c>
      <c r="I38" s="890">
        <v>8.5250000000000006E-2</v>
      </c>
      <c r="J38" s="890">
        <v>8.3360000000000004E-2</v>
      </c>
      <c r="K38" s="890">
        <v>8.1790000000000002E-2</v>
      </c>
      <c r="L38" s="890">
        <v>8.0489999999999992E-2</v>
      </c>
      <c r="M38" s="890">
        <v>7.9699999999999993E-2</v>
      </c>
      <c r="N38" s="890">
        <v>7.9039999999999999E-2</v>
      </c>
      <c r="O38" s="890">
        <v>7.8329999999999997E-2</v>
      </c>
      <c r="P38" s="890">
        <v>7.7850000000000003E-2</v>
      </c>
      <c r="Q38" s="890">
        <v>7.7609999999999998E-2</v>
      </c>
      <c r="R38" s="890">
        <v>7.7600000000000002E-2</v>
      </c>
      <c r="S38" s="890">
        <v>7.7869999999999995E-2</v>
      </c>
      <c r="T38" s="890">
        <v>7.8469999999999998E-2</v>
      </c>
      <c r="U38" s="890">
        <v>7.9570000000000002E-2</v>
      </c>
    </row>
    <row r="39" spans="2:76">
      <c r="B39" s="890" t="s">
        <v>634</v>
      </c>
      <c r="C39" s="8" cm="1">
        <f t="array" aca="1" ref="C39" ca="1">_xll.d.Dates_AddTenorToDate($B$28,B39,"ZAR","MODFOL")</f>
        <v>45379</v>
      </c>
      <c r="D39" s="892" cm="1">
        <f t="array" aca="1" ref="D39" ca="1">_xll.d.Dates_Act360($B$28,C39)</f>
        <v>1.0083333333333333</v>
      </c>
      <c r="E39" s="890">
        <v>0.10061999999999999</v>
      </c>
      <c r="F39" s="890">
        <v>9.5100000000000004E-2</v>
      </c>
      <c r="G39" s="890">
        <v>9.1090000000000004E-2</v>
      </c>
      <c r="H39" s="890">
        <v>8.795E-2</v>
      </c>
      <c r="I39" s="890">
        <v>8.541E-2</v>
      </c>
      <c r="J39" s="890">
        <v>8.3309999999999995E-2</v>
      </c>
      <c r="K39" s="890">
        <v>8.158E-2</v>
      </c>
      <c r="L39" s="890">
        <v>8.0149999999999999E-2</v>
      </c>
      <c r="M39" s="890">
        <v>7.9399999999999998E-2</v>
      </c>
      <c r="N39" s="890">
        <v>7.8750000000000001E-2</v>
      </c>
      <c r="O39" s="890">
        <v>7.7939999999999995E-2</v>
      </c>
      <c r="P39" s="890">
        <v>7.7380000000000004E-2</v>
      </c>
      <c r="Q39" s="890">
        <v>7.707E-2</v>
      </c>
      <c r="R39" s="890">
        <v>7.7030000000000001E-2</v>
      </c>
      <c r="S39" s="890">
        <v>7.7289999999999998E-2</v>
      </c>
      <c r="T39" s="890">
        <v>7.7929999999999999E-2</v>
      </c>
      <c r="U39" s="890">
        <v>7.9140000000000002E-2</v>
      </c>
    </row>
    <row r="40" spans="2:76">
      <c r="B40" s="890" t="s">
        <v>637</v>
      </c>
      <c r="C40" s="8" cm="1">
        <f t="array" aca="1" ref="C40" ca="1">_xll.d.Dates_AddTenorToDate($B$28,B40,"ZAR","MODFOL")</f>
        <v>45747</v>
      </c>
      <c r="D40" s="892" cm="1">
        <f t="array" aca="1" ref="D40" ca="1">_xll.d.Dates_Act360($B$28,C40)</f>
        <v>2.0305555555555554</v>
      </c>
      <c r="E40" s="890">
        <v>0.10005000000000001</v>
      </c>
      <c r="F40" s="890">
        <v>9.4689999999999996E-2</v>
      </c>
      <c r="G40" s="890">
        <v>9.0899999999999995E-2</v>
      </c>
      <c r="H40" s="890">
        <v>8.8000000000000009E-2</v>
      </c>
      <c r="I40" s="890">
        <v>8.5699999999999998E-2</v>
      </c>
      <c r="J40" s="890">
        <v>8.3829999999999988E-2</v>
      </c>
      <c r="K40" s="890">
        <v>8.2309999999999994E-2</v>
      </c>
      <c r="L40" s="890">
        <v>8.1079999999999999E-2</v>
      </c>
      <c r="M40" s="890">
        <v>8.0799999999999997E-2</v>
      </c>
      <c r="N40" s="890">
        <v>8.054E-2</v>
      </c>
      <c r="O40" s="890">
        <v>7.9689999999999997E-2</v>
      </c>
      <c r="P40" s="890">
        <v>7.9070000000000001E-2</v>
      </c>
      <c r="Q40" s="890">
        <v>7.8710000000000002E-2</v>
      </c>
      <c r="R40" s="890">
        <v>7.8630000000000005E-2</v>
      </c>
      <c r="S40" s="890">
        <v>7.8899999999999998E-2</v>
      </c>
      <c r="T40" s="890">
        <v>7.9660000000000009E-2</v>
      </c>
      <c r="U40" s="890">
        <v>8.1240000000000007E-2</v>
      </c>
    </row>
    <row r="41" spans="2:76">
      <c r="B41" s="890" t="s">
        <v>655</v>
      </c>
      <c r="C41" s="8" cm="1">
        <f t="array" aca="1" ref="C41" ca="1">_xll.d.Dates_AddTenorToDate($B$28,B41,"ZAR","MODFOL")</f>
        <v>46112</v>
      </c>
      <c r="D41" s="892" cm="1">
        <f t="array" aca="1" ref="D41" ca="1">_xll.d.Dates_Act360($B$28,C41)</f>
        <v>3.0444444444444443</v>
      </c>
      <c r="E41" s="890">
        <v>9.7989999999999994E-2</v>
      </c>
      <c r="F41" s="890">
        <v>9.3240000000000003E-2</v>
      </c>
      <c r="G41" s="890">
        <v>8.9939999999999992E-2</v>
      </c>
      <c r="H41" s="890">
        <v>8.7479999999999988E-2</v>
      </c>
      <c r="I41" s="890">
        <v>8.5580000000000003E-2</v>
      </c>
      <c r="J41" s="890">
        <v>8.4079999999999988E-2</v>
      </c>
      <c r="K41" s="890">
        <v>8.2909999999999998E-2</v>
      </c>
      <c r="L41" s="890">
        <v>8.2029999999999992E-2</v>
      </c>
      <c r="M41" s="890">
        <v>8.2100000000000006E-2</v>
      </c>
      <c r="N41" s="890">
        <v>8.2180000000000003E-2</v>
      </c>
      <c r="O41" s="890">
        <v>8.1500000000000003E-2</v>
      </c>
      <c r="P41" s="890">
        <v>8.1069999999999989E-2</v>
      </c>
      <c r="Q41" s="890">
        <v>8.0920000000000006E-2</v>
      </c>
      <c r="R41" s="890">
        <v>8.1089999999999995E-2</v>
      </c>
      <c r="S41" s="890">
        <v>8.166000000000001E-2</v>
      </c>
      <c r="T41" s="890">
        <v>8.2840000000000011E-2</v>
      </c>
      <c r="U41" s="890">
        <v>8.5050000000000014E-2</v>
      </c>
    </row>
    <row r="42" spans="2:76">
      <c r="B42" s="890" t="s">
        <v>657</v>
      </c>
      <c r="C42" s="8" cm="1">
        <f t="array" aca="1" ref="C42" ca="1">_xll.d.Dates_AddTenorToDate($B$28,B42,"ZAR","MODFOL")</f>
        <v>46843</v>
      </c>
      <c r="D42" s="892" cm="1">
        <f t="array" aca="1" ref="D42" ca="1">_xll.d.Dates_Act360($B$28,C42)</f>
        <v>5.0750000000000002</v>
      </c>
      <c r="E42" s="890">
        <v>0.10098000000000001</v>
      </c>
      <c r="F42" s="890">
        <v>9.6449999999999994E-2</v>
      </c>
      <c r="G42" s="890">
        <v>9.3339999999999992E-2</v>
      </c>
      <c r="H42" s="890">
        <v>9.1060000000000002E-2</v>
      </c>
      <c r="I42" s="890">
        <v>8.9349999999999999E-2</v>
      </c>
      <c r="J42" s="890">
        <v>8.8059999999999986E-2</v>
      </c>
      <c r="K42" s="890">
        <v>8.7120000000000003E-2</v>
      </c>
      <c r="L42" s="890">
        <v>8.6510000000000004E-2</v>
      </c>
      <c r="M42" s="890">
        <v>8.6899999999999991E-2</v>
      </c>
      <c r="N42" s="890">
        <v>8.7449999999999986E-2</v>
      </c>
      <c r="O42" s="890">
        <v>8.6709999999999995E-2</v>
      </c>
      <c r="P42" s="890">
        <v>8.6279999999999996E-2</v>
      </c>
      <c r="Q42" s="890">
        <v>8.6190000000000003E-2</v>
      </c>
      <c r="R42" s="890">
        <v>8.6460000000000009E-2</v>
      </c>
      <c r="S42" s="890">
        <v>8.72E-2</v>
      </c>
      <c r="T42" s="890">
        <v>8.8610000000000008E-2</v>
      </c>
      <c r="U42" s="890">
        <v>9.1170000000000015E-2</v>
      </c>
    </row>
    <row r="43" spans="2:76">
      <c r="B43" s="890" t="s">
        <v>659</v>
      </c>
      <c r="C43" s="8" cm="1">
        <f t="array" aca="1" ref="C43" ca="1">_xll.d.Dates_AddTenorToDate($B$28,B43,"ZAR","MODFOL")</f>
        <v>47571</v>
      </c>
      <c r="D43" s="892" cm="1">
        <f t="array" aca="1" ref="D43" ca="1">_xll.d.Dates_Act360($B$28,C43)</f>
        <v>7.0972222222222223</v>
      </c>
      <c r="E43" s="890">
        <v>0.10459</v>
      </c>
      <c r="F43" s="890">
        <v>9.9830000000000002E-2</v>
      </c>
      <c r="G43" s="890">
        <v>9.6630000000000008E-2</v>
      </c>
      <c r="H43" s="890">
        <v>9.4339999999999993E-2</v>
      </c>
      <c r="I43" s="890">
        <v>9.2660000000000006E-2</v>
      </c>
      <c r="J43" s="890">
        <v>9.1440000000000007E-2</v>
      </c>
      <c r="K43" s="890">
        <v>9.0619999999999992E-2</v>
      </c>
      <c r="L43" s="890">
        <v>9.0150000000000008E-2</v>
      </c>
      <c r="M43" s="890">
        <v>9.0500000000000011E-2</v>
      </c>
      <c r="N43" s="890">
        <v>9.1080000000000008E-2</v>
      </c>
      <c r="O43" s="890">
        <v>9.0389999999999998E-2</v>
      </c>
      <c r="P43" s="890">
        <v>9.0060000000000001E-2</v>
      </c>
      <c r="Q43" s="890">
        <v>9.0090000000000003E-2</v>
      </c>
      <c r="R43" s="890">
        <v>9.0530000000000013E-2</v>
      </c>
      <c r="S43" s="890">
        <v>9.1499999999999998E-2</v>
      </c>
      <c r="T43" s="890">
        <v>9.3240000000000003E-2</v>
      </c>
      <c r="U43" s="890">
        <v>9.6300000000000011E-2</v>
      </c>
    </row>
    <row r="44" spans="2:76">
      <c r="B44" s="890" t="s">
        <v>662</v>
      </c>
      <c r="C44" s="8" cm="1">
        <f t="array" aca="1" ref="C44" ca="1">_xll.d.Dates_AddTenorToDate($B$28,B44,"ZAR","MODFOL")</f>
        <v>48669</v>
      </c>
      <c r="D44" s="892" cm="1">
        <f t="array" aca="1" ref="D44" ca="1">_xll.d.Dates_Act360($B$28,C44)</f>
        <v>10.147222222222222</v>
      </c>
      <c r="E44" s="890">
        <v>0.10792</v>
      </c>
      <c r="F44" s="890">
        <v>0.10273</v>
      </c>
      <c r="G44" s="890">
        <v>9.9339999999999998E-2</v>
      </c>
      <c r="H44" s="890">
        <v>9.6980000000000011E-2</v>
      </c>
      <c r="I44" s="890">
        <v>9.5329999999999998E-2</v>
      </c>
      <c r="J44" s="890">
        <v>9.4220000000000012E-2</v>
      </c>
      <c r="K44" s="890">
        <v>9.3590000000000007E-2</v>
      </c>
      <c r="L44" s="890">
        <v>9.3409999999999993E-2</v>
      </c>
      <c r="M44" s="890">
        <v>9.3800000000000008E-2</v>
      </c>
      <c r="N44" s="890">
        <v>9.5129999999999992E-2</v>
      </c>
      <c r="O44" s="890">
        <v>9.4100000000000003E-2</v>
      </c>
      <c r="P44" s="890">
        <v>9.3530000000000002E-2</v>
      </c>
      <c r="Q44" s="890">
        <v>9.3420000000000003E-2</v>
      </c>
      <c r="R44" s="890">
        <v>9.3810000000000004E-2</v>
      </c>
      <c r="S44" s="890">
        <v>9.4830000000000012E-2</v>
      </c>
      <c r="T44" s="890">
        <v>9.6759999999999999E-2</v>
      </c>
      <c r="U44" s="890">
        <v>0.10026</v>
      </c>
    </row>
    <row r="46" spans="2:76">
      <c r="D46" s="892" t="e">
        <f t="array" aca="1" ref="D46:BX60" ca="1">_xll.d.FX_ConvertDeltaToMoneynessVolSurface(E31:U44,E30:U30,D31:D44,0,0)</f>
        <v>#VALUE!</v>
      </c>
      <c r="E46" s="439" t="e">
        <f ca="1"/>
        <v>#VALUE!</v>
      </c>
      <c r="F46" s="439" t="e">
        <f ca="1"/>
        <v>#VALUE!</v>
      </c>
      <c r="G46" s="439" t="e">
        <f ca="1"/>
        <v>#VALUE!</v>
      </c>
      <c r="H46" s="439" t="e">
        <f ca="1"/>
        <v>#VALUE!</v>
      </c>
      <c r="I46" s="439" t="e">
        <f ca="1"/>
        <v>#VALUE!</v>
      </c>
      <c r="J46" s="439" t="e">
        <f ca="1"/>
        <v>#VALUE!</v>
      </c>
      <c r="K46" s="439" t="e">
        <f ca="1"/>
        <v>#VALUE!</v>
      </c>
      <c r="L46" s="439" t="e">
        <f ca="1"/>
        <v>#VALUE!</v>
      </c>
      <c r="M46" s="439" t="e">
        <f ca="1"/>
        <v>#VALUE!</v>
      </c>
      <c r="N46" s="439" t="e">
        <f ca="1"/>
        <v>#VALUE!</v>
      </c>
      <c r="O46" s="439" t="e">
        <f ca="1"/>
        <v>#VALUE!</v>
      </c>
      <c r="P46" s="439" t="e">
        <f ca="1"/>
        <v>#VALUE!</v>
      </c>
      <c r="Q46" s="439" t="e">
        <f ca="1"/>
        <v>#VALUE!</v>
      </c>
      <c r="R46" s="439" t="e">
        <f ca="1"/>
        <v>#VALUE!</v>
      </c>
      <c r="S46" s="439" t="e">
        <f ca="1"/>
        <v>#VALUE!</v>
      </c>
      <c r="T46" s="439" t="e">
        <f ca="1"/>
        <v>#VALUE!</v>
      </c>
      <c r="U46" s="439" t="e">
        <f ca="1"/>
        <v>#VALUE!</v>
      </c>
      <c r="V46" s="439" t="e">
        <f ca="1"/>
        <v>#VALUE!</v>
      </c>
      <c r="W46" s="439" t="e">
        <f ca="1"/>
        <v>#VALUE!</v>
      </c>
      <c r="X46" s="439" t="e">
        <f ca="1"/>
        <v>#VALUE!</v>
      </c>
      <c r="Y46" s="439" t="e">
        <f ca="1"/>
        <v>#VALUE!</v>
      </c>
      <c r="Z46" s="439" t="e">
        <f ca="1"/>
        <v>#VALUE!</v>
      </c>
      <c r="AA46" s="439" t="e">
        <f ca="1"/>
        <v>#VALUE!</v>
      </c>
      <c r="AB46" s="439" t="e">
        <f ca="1"/>
        <v>#VALUE!</v>
      </c>
      <c r="AC46" s="439" t="e">
        <f ca="1"/>
        <v>#VALUE!</v>
      </c>
      <c r="AD46" s="439" t="e">
        <f ca="1"/>
        <v>#VALUE!</v>
      </c>
      <c r="AE46" s="439" t="e">
        <f ca="1"/>
        <v>#VALUE!</v>
      </c>
      <c r="AF46" s="439" t="e">
        <f ca="1"/>
        <v>#VALUE!</v>
      </c>
      <c r="AG46" s="439" t="e">
        <f ca="1"/>
        <v>#VALUE!</v>
      </c>
      <c r="AH46" s="439" t="e">
        <f ca="1"/>
        <v>#VALUE!</v>
      </c>
      <c r="AI46" s="439" t="e">
        <f ca="1"/>
        <v>#VALUE!</v>
      </c>
      <c r="AJ46" s="439" t="e">
        <f ca="1"/>
        <v>#VALUE!</v>
      </c>
      <c r="AK46" s="439" t="e">
        <f ca="1"/>
        <v>#VALUE!</v>
      </c>
      <c r="AL46" s="439" t="e">
        <f ca="1"/>
        <v>#VALUE!</v>
      </c>
      <c r="AM46" s="439" t="e">
        <f ca="1"/>
        <v>#VALUE!</v>
      </c>
      <c r="AN46" s="439" t="e">
        <f ca="1"/>
        <v>#VALUE!</v>
      </c>
      <c r="AO46" s="439" t="e">
        <f ca="1"/>
        <v>#VALUE!</v>
      </c>
      <c r="AP46" s="439" t="e">
        <f ca="1"/>
        <v>#VALUE!</v>
      </c>
      <c r="AQ46" s="439" t="e">
        <f ca="1"/>
        <v>#VALUE!</v>
      </c>
      <c r="AR46" s="439" t="e">
        <f ca="1"/>
        <v>#VALUE!</v>
      </c>
      <c r="AS46" s="439" t="e">
        <f ca="1"/>
        <v>#VALUE!</v>
      </c>
      <c r="AT46" s="439" t="e">
        <f ca="1"/>
        <v>#VALUE!</v>
      </c>
      <c r="AU46" s="439" t="e">
        <f ca="1"/>
        <v>#VALUE!</v>
      </c>
      <c r="AV46" s="439" t="e">
        <f ca="1"/>
        <v>#VALUE!</v>
      </c>
      <c r="AW46" s="439" t="e">
        <f ca="1"/>
        <v>#VALUE!</v>
      </c>
      <c r="AX46" s="439" t="e">
        <f ca="1"/>
        <v>#VALUE!</v>
      </c>
      <c r="AY46" s="439" t="e">
        <f ca="1"/>
        <v>#VALUE!</v>
      </c>
      <c r="AZ46" s="439" t="e">
        <f ca="1"/>
        <v>#VALUE!</v>
      </c>
      <c r="BA46" s="439" t="e">
        <f ca="1"/>
        <v>#VALUE!</v>
      </c>
      <c r="BB46" s="439" t="e">
        <f ca="1"/>
        <v>#VALUE!</v>
      </c>
      <c r="BC46" s="439" t="e">
        <f ca="1"/>
        <v>#VALUE!</v>
      </c>
      <c r="BD46" s="439" t="e">
        <f ca="1"/>
        <v>#VALUE!</v>
      </c>
      <c r="BE46" s="439" t="e">
        <f ca="1"/>
        <v>#VALUE!</v>
      </c>
      <c r="BF46" s="439" t="e">
        <f ca="1"/>
        <v>#VALUE!</v>
      </c>
      <c r="BG46" s="439" t="e">
        <f ca="1"/>
        <v>#VALUE!</v>
      </c>
      <c r="BH46" s="439" t="e">
        <f ca="1"/>
        <v>#VALUE!</v>
      </c>
      <c r="BI46" s="439" t="e">
        <f ca="1"/>
        <v>#VALUE!</v>
      </c>
      <c r="BJ46" s="439" t="e">
        <f ca="1"/>
        <v>#VALUE!</v>
      </c>
      <c r="BK46" s="439" t="e">
        <f ca="1"/>
        <v>#VALUE!</v>
      </c>
      <c r="BL46" s="439" t="e">
        <f ca="1"/>
        <v>#VALUE!</v>
      </c>
      <c r="BM46" s="439" t="e">
        <f ca="1"/>
        <v>#VALUE!</v>
      </c>
      <c r="BN46" s="439" t="e">
        <f ca="1"/>
        <v>#VALUE!</v>
      </c>
      <c r="BO46" s="439" t="e">
        <f ca="1"/>
        <v>#VALUE!</v>
      </c>
      <c r="BP46" s="439" t="e">
        <f ca="1"/>
        <v>#VALUE!</v>
      </c>
      <c r="BQ46" s="439" t="e">
        <f ca="1"/>
        <v>#VALUE!</v>
      </c>
      <c r="BR46" s="439" t="e">
        <f ca="1"/>
        <v>#VALUE!</v>
      </c>
      <c r="BS46" s="439" t="e">
        <f ca="1"/>
        <v>#VALUE!</v>
      </c>
      <c r="BT46" s="439" t="e">
        <f ca="1"/>
        <v>#VALUE!</v>
      </c>
      <c r="BU46" s="439" t="e">
        <f ca="1"/>
        <v>#VALUE!</v>
      </c>
      <c r="BV46" s="439" t="e">
        <f ca="1"/>
        <v>#VALUE!</v>
      </c>
      <c r="BW46" s="439" t="e">
        <f ca="1"/>
        <v>#VALUE!</v>
      </c>
      <c r="BX46" s="439" t="e">
        <f ca="1"/>
        <v>#VALUE!</v>
      </c>
    </row>
    <row r="47" spans="2:76">
      <c r="D47" s="439" t="e">
        <f ca="1"/>
        <v>#VALUE!</v>
      </c>
      <c r="E47" s="439" t="e">
        <f ca="1"/>
        <v>#VALUE!</v>
      </c>
      <c r="F47" s="439" t="e">
        <f ca="1"/>
        <v>#VALUE!</v>
      </c>
      <c r="G47" s="439" t="e">
        <f ca="1"/>
        <v>#VALUE!</v>
      </c>
      <c r="H47" s="439" t="e">
        <f ca="1"/>
        <v>#VALUE!</v>
      </c>
      <c r="I47" s="439" t="e">
        <f ca="1"/>
        <v>#VALUE!</v>
      </c>
      <c r="J47" s="439" t="e">
        <f ca="1"/>
        <v>#VALUE!</v>
      </c>
      <c r="K47" s="439" t="e">
        <f ca="1"/>
        <v>#VALUE!</v>
      </c>
      <c r="L47" s="439" t="e">
        <f ca="1"/>
        <v>#VALUE!</v>
      </c>
      <c r="M47" s="439" t="e">
        <f ca="1"/>
        <v>#VALUE!</v>
      </c>
      <c r="N47" s="439" t="e">
        <f ca="1"/>
        <v>#VALUE!</v>
      </c>
      <c r="O47" s="439" t="e">
        <f ca="1"/>
        <v>#VALUE!</v>
      </c>
      <c r="P47" s="439" t="e">
        <f ca="1"/>
        <v>#VALUE!</v>
      </c>
      <c r="Q47" s="439" t="e">
        <f ca="1"/>
        <v>#VALUE!</v>
      </c>
      <c r="R47" s="439" t="e">
        <f ca="1"/>
        <v>#VALUE!</v>
      </c>
      <c r="S47" s="439" t="e">
        <f ca="1"/>
        <v>#VALUE!</v>
      </c>
      <c r="T47" s="439" t="e">
        <f ca="1"/>
        <v>#VALUE!</v>
      </c>
      <c r="U47" s="439" t="e">
        <f ca="1"/>
        <v>#VALUE!</v>
      </c>
      <c r="V47" s="439" t="e">
        <f ca="1"/>
        <v>#VALUE!</v>
      </c>
      <c r="W47" s="439" t="e">
        <f ca="1"/>
        <v>#VALUE!</v>
      </c>
      <c r="X47" s="439" t="e">
        <f ca="1"/>
        <v>#VALUE!</v>
      </c>
      <c r="Y47" s="439" t="e">
        <f ca="1"/>
        <v>#VALUE!</v>
      </c>
      <c r="Z47" s="439" t="e">
        <f ca="1"/>
        <v>#VALUE!</v>
      </c>
      <c r="AA47" s="439" t="e">
        <f ca="1"/>
        <v>#VALUE!</v>
      </c>
      <c r="AB47" s="439" t="e">
        <f ca="1"/>
        <v>#VALUE!</v>
      </c>
      <c r="AC47" s="439" t="e">
        <f ca="1"/>
        <v>#VALUE!</v>
      </c>
      <c r="AD47" s="439" t="e">
        <f ca="1"/>
        <v>#VALUE!</v>
      </c>
      <c r="AE47" s="439" t="e">
        <f ca="1"/>
        <v>#VALUE!</v>
      </c>
      <c r="AF47" s="439" t="e">
        <f ca="1"/>
        <v>#VALUE!</v>
      </c>
      <c r="AG47" s="439" t="e">
        <f ca="1"/>
        <v>#VALUE!</v>
      </c>
      <c r="AH47" s="439" t="e">
        <f ca="1"/>
        <v>#VALUE!</v>
      </c>
      <c r="AI47" s="439" t="e">
        <f ca="1"/>
        <v>#VALUE!</v>
      </c>
      <c r="AJ47" s="439" t="e">
        <f ca="1"/>
        <v>#VALUE!</v>
      </c>
      <c r="AK47" s="439" t="e">
        <f ca="1"/>
        <v>#VALUE!</v>
      </c>
      <c r="AL47" s="439" t="e">
        <f ca="1"/>
        <v>#VALUE!</v>
      </c>
      <c r="AM47" s="439" t="e">
        <f ca="1"/>
        <v>#VALUE!</v>
      </c>
      <c r="AN47" s="439" t="e">
        <f ca="1"/>
        <v>#VALUE!</v>
      </c>
      <c r="AO47" s="439" t="e">
        <f ca="1"/>
        <v>#VALUE!</v>
      </c>
      <c r="AP47" s="439" t="e">
        <f ca="1"/>
        <v>#VALUE!</v>
      </c>
      <c r="AQ47" s="439" t="e">
        <f ca="1"/>
        <v>#VALUE!</v>
      </c>
      <c r="AR47" s="439" t="e">
        <f ca="1"/>
        <v>#VALUE!</v>
      </c>
      <c r="AS47" s="439" t="e">
        <f ca="1"/>
        <v>#VALUE!</v>
      </c>
      <c r="AT47" s="439" t="e">
        <f ca="1"/>
        <v>#VALUE!</v>
      </c>
      <c r="AU47" s="439" t="e">
        <f ca="1"/>
        <v>#VALUE!</v>
      </c>
      <c r="AV47" s="439" t="e">
        <f ca="1"/>
        <v>#VALUE!</v>
      </c>
      <c r="AW47" s="439" t="e">
        <f ca="1"/>
        <v>#VALUE!</v>
      </c>
      <c r="AX47" s="439" t="e">
        <f ca="1"/>
        <v>#VALUE!</v>
      </c>
      <c r="AY47" s="439" t="e">
        <f ca="1"/>
        <v>#VALUE!</v>
      </c>
      <c r="AZ47" s="439" t="e">
        <f ca="1"/>
        <v>#VALUE!</v>
      </c>
      <c r="BA47" s="439" t="e">
        <f ca="1"/>
        <v>#VALUE!</v>
      </c>
      <c r="BB47" s="439" t="e">
        <f ca="1"/>
        <v>#VALUE!</v>
      </c>
      <c r="BC47" s="439" t="e">
        <f ca="1"/>
        <v>#VALUE!</v>
      </c>
      <c r="BD47" s="439" t="e">
        <f ca="1"/>
        <v>#VALUE!</v>
      </c>
      <c r="BE47" s="439" t="e">
        <f ca="1"/>
        <v>#VALUE!</v>
      </c>
      <c r="BF47" s="439" t="e">
        <f ca="1"/>
        <v>#VALUE!</v>
      </c>
      <c r="BG47" s="439" t="e">
        <f ca="1"/>
        <v>#VALUE!</v>
      </c>
      <c r="BH47" s="439" t="e">
        <f ca="1"/>
        <v>#VALUE!</v>
      </c>
      <c r="BI47" s="439" t="e">
        <f ca="1"/>
        <v>#VALUE!</v>
      </c>
      <c r="BJ47" s="439" t="e">
        <f ca="1"/>
        <v>#VALUE!</v>
      </c>
      <c r="BK47" s="439" t="e">
        <f ca="1"/>
        <v>#VALUE!</v>
      </c>
      <c r="BL47" s="439" t="e">
        <f ca="1"/>
        <v>#VALUE!</v>
      </c>
      <c r="BM47" s="439" t="e">
        <f ca="1"/>
        <v>#VALUE!</v>
      </c>
      <c r="BN47" s="439" t="e">
        <f ca="1"/>
        <v>#VALUE!</v>
      </c>
      <c r="BO47" s="439" t="e">
        <f ca="1"/>
        <v>#VALUE!</v>
      </c>
      <c r="BP47" s="439" t="e">
        <f ca="1"/>
        <v>#VALUE!</v>
      </c>
      <c r="BQ47" s="439" t="e">
        <f ca="1"/>
        <v>#VALUE!</v>
      </c>
      <c r="BR47" s="439" t="e">
        <f ca="1"/>
        <v>#VALUE!</v>
      </c>
      <c r="BS47" s="439" t="e">
        <f ca="1"/>
        <v>#VALUE!</v>
      </c>
      <c r="BT47" s="439" t="e">
        <f ca="1"/>
        <v>#VALUE!</v>
      </c>
      <c r="BU47" s="439" t="e">
        <f ca="1"/>
        <v>#VALUE!</v>
      </c>
      <c r="BV47" s="439" t="e">
        <f ca="1"/>
        <v>#VALUE!</v>
      </c>
      <c r="BW47" s="439" t="e">
        <f ca="1"/>
        <v>#VALUE!</v>
      </c>
      <c r="BX47" s="439" t="e">
        <f ca="1"/>
        <v>#VALUE!</v>
      </c>
    </row>
    <row r="48" spans="2:76">
      <c r="D48" s="439" t="e">
        <f ca="1"/>
        <v>#VALUE!</v>
      </c>
      <c r="E48" s="439" t="e">
        <f ca="1"/>
        <v>#VALUE!</v>
      </c>
      <c r="F48" s="439" t="e">
        <f ca="1"/>
        <v>#VALUE!</v>
      </c>
      <c r="G48" s="439" t="e">
        <f ca="1"/>
        <v>#VALUE!</v>
      </c>
      <c r="H48" s="439" t="e">
        <f ca="1"/>
        <v>#VALUE!</v>
      </c>
      <c r="I48" s="439" t="e">
        <f ca="1"/>
        <v>#VALUE!</v>
      </c>
      <c r="J48" s="439" t="e">
        <f ca="1"/>
        <v>#VALUE!</v>
      </c>
      <c r="K48" s="439" t="e">
        <f ca="1"/>
        <v>#VALUE!</v>
      </c>
      <c r="L48" s="439" t="e">
        <f ca="1"/>
        <v>#VALUE!</v>
      </c>
      <c r="M48" s="439" t="e">
        <f ca="1"/>
        <v>#VALUE!</v>
      </c>
      <c r="N48" s="439" t="e">
        <f ca="1"/>
        <v>#VALUE!</v>
      </c>
      <c r="O48" s="439" t="e">
        <f ca="1"/>
        <v>#VALUE!</v>
      </c>
      <c r="P48" s="439" t="e">
        <f ca="1"/>
        <v>#VALUE!</v>
      </c>
      <c r="Q48" s="439" t="e">
        <f ca="1"/>
        <v>#VALUE!</v>
      </c>
      <c r="R48" s="439" t="e">
        <f ca="1"/>
        <v>#VALUE!</v>
      </c>
      <c r="S48" s="439" t="e">
        <f ca="1"/>
        <v>#VALUE!</v>
      </c>
      <c r="T48" s="439" t="e">
        <f ca="1"/>
        <v>#VALUE!</v>
      </c>
      <c r="U48" s="439" t="e">
        <f ca="1"/>
        <v>#VALUE!</v>
      </c>
      <c r="V48" s="439" t="e">
        <f ca="1"/>
        <v>#VALUE!</v>
      </c>
      <c r="W48" s="439" t="e">
        <f ca="1"/>
        <v>#VALUE!</v>
      </c>
      <c r="X48" s="439" t="e">
        <f ca="1"/>
        <v>#VALUE!</v>
      </c>
      <c r="Y48" s="439" t="e">
        <f ca="1"/>
        <v>#VALUE!</v>
      </c>
      <c r="Z48" s="439" t="e">
        <f ca="1"/>
        <v>#VALUE!</v>
      </c>
      <c r="AA48" s="439" t="e">
        <f ca="1"/>
        <v>#VALUE!</v>
      </c>
      <c r="AB48" s="439" t="e">
        <f ca="1"/>
        <v>#VALUE!</v>
      </c>
      <c r="AC48" s="439" t="e">
        <f ca="1"/>
        <v>#VALUE!</v>
      </c>
      <c r="AD48" s="439" t="e">
        <f ca="1"/>
        <v>#VALUE!</v>
      </c>
      <c r="AE48" s="439" t="e">
        <f ca="1"/>
        <v>#VALUE!</v>
      </c>
      <c r="AF48" s="439" t="e">
        <f ca="1"/>
        <v>#VALUE!</v>
      </c>
      <c r="AG48" s="439" t="e">
        <f ca="1"/>
        <v>#VALUE!</v>
      </c>
      <c r="AH48" s="439" t="e">
        <f ca="1"/>
        <v>#VALUE!</v>
      </c>
      <c r="AI48" s="439" t="e">
        <f ca="1"/>
        <v>#VALUE!</v>
      </c>
      <c r="AJ48" s="439" t="e">
        <f ca="1"/>
        <v>#VALUE!</v>
      </c>
      <c r="AK48" s="439" t="e">
        <f ca="1"/>
        <v>#VALUE!</v>
      </c>
      <c r="AL48" s="439" t="e">
        <f ca="1"/>
        <v>#VALUE!</v>
      </c>
      <c r="AM48" s="439" t="e">
        <f ca="1"/>
        <v>#VALUE!</v>
      </c>
      <c r="AN48" s="439" t="e">
        <f ca="1"/>
        <v>#VALUE!</v>
      </c>
      <c r="AO48" s="439" t="e">
        <f ca="1"/>
        <v>#VALUE!</v>
      </c>
      <c r="AP48" s="439" t="e">
        <f ca="1"/>
        <v>#VALUE!</v>
      </c>
      <c r="AQ48" s="439" t="e">
        <f ca="1"/>
        <v>#VALUE!</v>
      </c>
      <c r="AR48" s="439" t="e">
        <f ca="1"/>
        <v>#VALUE!</v>
      </c>
      <c r="AS48" s="439" t="e">
        <f ca="1"/>
        <v>#VALUE!</v>
      </c>
      <c r="AT48" s="439" t="e">
        <f ca="1"/>
        <v>#VALUE!</v>
      </c>
      <c r="AU48" s="439" t="e">
        <f ca="1"/>
        <v>#VALUE!</v>
      </c>
      <c r="AV48" s="439" t="e">
        <f ca="1"/>
        <v>#VALUE!</v>
      </c>
      <c r="AW48" s="439" t="e">
        <f ca="1"/>
        <v>#VALUE!</v>
      </c>
      <c r="AX48" s="439" t="e">
        <f ca="1"/>
        <v>#VALUE!</v>
      </c>
      <c r="AY48" s="439" t="e">
        <f ca="1"/>
        <v>#VALUE!</v>
      </c>
      <c r="AZ48" s="439" t="e">
        <f ca="1"/>
        <v>#VALUE!</v>
      </c>
      <c r="BA48" s="439" t="e">
        <f ca="1"/>
        <v>#VALUE!</v>
      </c>
      <c r="BB48" s="439" t="e">
        <f ca="1"/>
        <v>#VALUE!</v>
      </c>
      <c r="BC48" s="439" t="e">
        <f ca="1"/>
        <v>#VALUE!</v>
      </c>
      <c r="BD48" s="439" t="e">
        <f ca="1"/>
        <v>#VALUE!</v>
      </c>
      <c r="BE48" s="439" t="e">
        <f ca="1"/>
        <v>#VALUE!</v>
      </c>
      <c r="BF48" s="439" t="e">
        <f ca="1"/>
        <v>#VALUE!</v>
      </c>
      <c r="BG48" s="439" t="e">
        <f ca="1"/>
        <v>#VALUE!</v>
      </c>
      <c r="BH48" s="439" t="e">
        <f ca="1"/>
        <v>#VALUE!</v>
      </c>
      <c r="BI48" s="439" t="e">
        <f ca="1"/>
        <v>#VALUE!</v>
      </c>
      <c r="BJ48" s="439" t="e">
        <f ca="1"/>
        <v>#VALUE!</v>
      </c>
      <c r="BK48" s="439" t="e">
        <f ca="1"/>
        <v>#VALUE!</v>
      </c>
      <c r="BL48" s="439" t="e">
        <f ca="1"/>
        <v>#VALUE!</v>
      </c>
      <c r="BM48" s="439" t="e">
        <f ca="1"/>
        <v>#VALUE!</v>
      </c>
      <c r="BN48" s="439" t="e">
        <f ca="1"/>
        <v>#VALUE!</v>
      </c>
      <c r="BO48" s="439" t="e">
        <f ca="1"/>
        <v>#VALUE!</v>
      </c>
      <c r="BP48" s="439" t="e">
        <f ca="1"/>
        <v>#VALUE!</v>
      </c>
      <c r="BQ48" s="439" t="e">
        <f ca="1"/>
        <v>#VALUE!</v>
      </c>
      <c r="BR48" s="439" t="e">
        <f ca="1"/>
        <v>#VALUE!</v>
      </c>
      <c r="BS48" s="439" t="e">
        <f ca="1"/>
        <v>#VALUE!</v>
      </c>
      <c r="BT48" s="439" t="e">
        <f ca="1"/>
        <v>#VALUE!</v>
      </c>
      <c r="BU48" s="439" t="e">
        <f ca="1"/>
        <v>#VALUE!</v>
      </c>
      <c r="BV48" s="439" t="e">
        <f ca="1"/>
        <v>#VALUE!</v>
      </c>
      <c r="BW48" s="439" t="e">
        <f ca="1"/>
        <v>#VALUE!</v>
      </c>
      <c r="BX48" s="439" t="e">
        <f ca="1"/>
        <v>#VALUE!</v>
      </c>
    </row>
    <row r="49" spans="4:76">
      <c r="D49" s="439" t="e">
        <f ca="1"/>
        <v>#VALUE!</v>
      </c>
      <c r="E49" s="439" t="e">
        <f ca="1"/>
        <v>#VALUE!</v>
      </c>
      <c r="F49" s="439" t="e">
        <f ca="1"/>
        <v>#VALUE!</v>
      </c>
      <c r="G49" s="439" t="e">
        <f ca="1"/>
        <v>#VALUE!</v>
      </c>
      <c r="H49" s="439" t="e">
        <f ca="1"/>
        <v>#VALUE!</v>
      </c>
      <c r="I49" s="439" t="e">
        <f ca="1"/>
        <v>#VALUE!</v>
      </c>
      <c r="J49" s="439" t="e">
        <f ca="1"/>
        <v>#VALUE!</v>
      </c>
      <c r="K49" s="439" t="e">
        <f ca="1"/>
        <v>#VALUE!</v>
      </c>
      <c r="L49" s="439" t="e">
        <f ca="1"/>
        <v>#VALUE!</v>
      </c>
      <c r="M49" s="439" t="e">
        <f ca="1"/>
        <v>#VALUE!</v>
      </c>
      <c r="N49" s="439" t="e">
        <f ca="1"/>
        <v>#VALUE!</v>
      </c>
      <c r="O49" s="439" t="e">
        <f ca="1"/>
        <v>#VALUE!</v>
      </c>
      <c r="P49" s="439" t="e">
        <f ca="1"/>
        <v>#VALUE!</v>
      </c>
      <c r="Q49" s="439" t="e">
        <f ca="1"/>
        <v>#VALUE!</v>
      </c>
      <c r="R49" s="439" t="e">
        <f ca="1"/>
        <v>#VALUE!</v>
      </c>
      <c r="S49" s="439" t="e">
        <f ca="1"/>
        <v>#VALUE!</v>
      </c>
      <c r="T49" s="439" t="e">
        <f ca="1"/>
        <v>#VALUE!</v>
      </c>
      <c r="U49" s="439" t="e">
        <f ca="1"/>
        <v>#VALUE!</v>
      </c>
      <c r="V49" s="439" t="e">
        <f ca="1"/>
        <v>#VALUE!</v>
      </c>
      <c r="W49" s="439" t="e">
        <f ca="1"/>
        <v>#VALUE!</v>
      </c>
      <c r="X49" s="439" t="e">
        <f ca="1"/>
        <v>#VALUE!</v>
      </c>
      <c r="Y49" s="439" t="e">
        <f ca="1"/>
        <v>#VALUE!</v>
      </c>
      <c r="Z49" s="439" t="e">
        <f ca="1"/>
        <v>#VALUE!</v>
      </c>
      <c r="AA49" s="439" t="e">
        <f ca="1"/>
        <v>#VALUE!</v>
      </c>
      <c r="AB49" s="439" t="e">
        <f ca="1"/>
        <v>#VALUE!</v>
      </c>
      <c r="AC49" s="439" t="e">
        <f ca="1"/>
        <v>#VALUE!</v>
      </c>
      <c r="AD49" s="439" t="e">
        <f ca="1"/>
        <v>#VALUE!</v>
      </c>
      <c r="AE49" s="439" t="e">
        <f ca="1"/>
        <v>#VALUE!</v>
      </c>
      <c r="AF49" s="439" t="e">
        <f ca="1"/>
        <v>#VALUE!</v>
      </c>
      <c r="AG49" s="439" t="e">
        <f ca="1"/>
        <v>#VALUE!</v>
      </c>
      <c r="AH49" s="439" t="e">
        <f ca="1"/>
        <v>#VALUE!</v>
      </c>
      <c r="AI49" s="439" t="e">
        <f ca="1"/>
        <v>#VALUE!</v>
      </c>
      <c r="AJ49" s="439" t="e">
        <f ca="1"/>
        <v>#VALUE!</v>
      </c>
      <c r="AK49" s="439" t="e">
        <f ca="1"/>
        <v>#VALUE!</v>
      </c>
      <c r="AL49" s="439" t="e">
        <f ca="1"/>
        <v>#VALUE!</v>
      </c>
      <c r="AM49" s="439" t="e">
        <f ca="1"/>
        <v>#VALUE!</v>
      </c>
      <c r="AN49" s="439" t="e">
        <f ca="1"/>
        <v>#VALUE!</v>
      </c>
      <c r="AO49" s="439" t="e">
        <f ca="1"/>
        <v>#VALUE!</v>
      </c>
      <c r="AP49" s="439" t="e">
        <f ca="1"/>
        <v>#VALUE!</v>
      </c>
      <c r="AQ49" s="439" t="e">
        <f ca="1"/>
        <v>#VALUE!</v>
      </c>
      <c r="AR49" s="439" t="e">
        <f ca="1"/>
        <v>#VALUE!</v>
      </c>
      <c r="AS49" s="439" t="e">
        <f ca="1"/>
        <v>#VALUE!</v>
      </c>
      <c r="AT49" s="439" t="e">
        <f ca="1"/>
        <v>#VALUE!</v>
      </c>
      <c r="AU49" s="439" t="e">
        <f ca="1"/>
        <v>#VALUE!</v>
      </c>
      <c r="AV49" s="439" t="e">
        <f ca="1"/>
        <v>#VALUE!</v>
      </c>
      <c r="AW49" s="439" t="e">
        <f ca="1"/>
        <v>#VALUE!</v>
      </c>
      <c r="AX49" s="439" t="e">
        <f ca="1"/>
        <v>#VALUE!</v>
      </c>
      <c r="AY49" s="439" t="e">
        <f ca="1"/>
        <v>#VALUE!</v>
      </c>
      <c r="AZ49" s="439" t="e">
        <f ca="1"/>
        <v>#VALUE!</v>
      </c>
      <c r="BA49" s="439" t="e">
        <f ca="1"/>
        <v>#VALUE!</v>
      </c>
      <c r="BB49" s="439" t="e">
        <f ca="1"/>
        <v>#VALUE!</v>
      </c>
      <c r="BC49" s="439" t="e">
        <f ca="1"/>
        <v>#VALUE!</v>
      </c>
      <c r="BD49" s="439" t="e">
        <f ca="1"/>
        <v>#VALUE!</v>
      </c>
      <c r="BE49" s="439" t="e">
        <f ca="1"/>
        <v>#VALUE!</v>
      </c>
      <c r="BF49" s="439" t="e">
        <f ca="1"/>
        <v>#VALUE!</v>
      </c>
      <c r="BG49" s="439" t="e">
        <f ca="1"/>
        <v>#VALUE!</v>
      </c>
      <c r="BH49" s="439" t="e">
        <f ca="1"/>
        <v>#VALUE!</v>
      </c>
      <c r="BI49" s="439" t="e">
        <f ca="1"/>
        <v>#VALUE!</v>
      </c>
      <c r="BJ49" s="439" t="e">
        <f ca="1"/>
        <v>#VALUE!</v>
      </c>
      <c r="BK49" s="439" t="e">
        <f ca="1"/>
        <v>#VALUE!</v>
      </c>
      <c r="BL49" s="439" t="e">
        <f ca="1"/>
        <v>#VALUE!</v>
      </c>
      <c r="BM49" s="439" t="e">
        <f ca="1"/>
        <v>#VALUE!</v>
      </c>
      <c r="BN49" s="439" t="e">
        <f ca="1"/>
        <v>#VALUE!</v>
      </c>
      <c r="BO49" s="439" t="e">
        <f ca="1"/>
        <v>#VALUE!</v>
      </c>
      <c r="BP49" s="439" t="e">
        <f ca="1"/>
        <v>#VALUE!</v>
      </c>
      <c r="BQ49" s="439" t="e">
        <f ca="1"/>
        <v>#VALUE!</v>
      </c>
      <c r="BR49" s="439" t="e">
        <f ca="1"/>
        <v>#VALUE!</v>
      </c>
      <c r="BS49" s="439" t="e">
        <f ca="1"/>
        <v>#VALUE!</v>
      </c>
      <c r="BT49" s="439" t="e">
        <f ca="1"/>
        <v>#VALUE!</v>
      </c>
      <c r="BU49" s="439" t="e">
        <f ca="1"/>
        <v>#VALUE!</v>
      </c>
      <c r="BV49" s="439" t="e">
        <f ca="1"/>
        <v>#VALUE!</v>
      </c>
      <c r="BW49" s="439" t="e">
        <f ca="1"/>
        <v>#VALUE!</v>
      </c>
      <c r="BX49" s="439" t="e">
        <f ca="1"/>
        <v>#VALUE!</v>
      </c>
    </row>
    <row r="50" spans="4:76">
      <c r="D50" s="439" t="e">
        <f ca="1"/>
        <v>#VALUE!</v>
      </c>
      <c r="E50" s="439" t="e">
        <f ca="1"/>
        <v>#VALUE!</v>
      </c>
      <c r="F50" s="439" t="e">
        <f ca="1"/>
        <v>#VALUE!</v>
      </c>
      <c r="G50" s="439" t="e">
        <f ca="1"/>
        <v>#VALUE!</v>
      </c>
      <c r="H50" s="439" t="e">
        <f ca="1"/>
        <v>#VALUE!</v>
      </c>
      <c r="I50" s="439" t="e">
        <f ca="1"/>
        <v>#VALUE!</v>
      </c>
      <c r="J50" s="439" t="e">
        <f ca="1"/>
        <v>#VALUE!</v>
      </c>
      <c r="K50" s="439" t="e">
        <f ca="1"/>
        <v>#VALUE!</v>
      </c>
      <c r="L50" s="439" t="e">
        <f ca="1"/>
        <v>#VALUE!</v>
      </c>
      <c r="M50" s="439" t="e">
        <f ca="1"/>
        <v>#VALUE!</v>
      </c>
      <c r="N50" s="439" t="e">
        <f ca="1"/>
        <v>#VALUE!</v>
      </c>
      <c r="O50" s="439" t="e">
        <f ca="1"/>
        <v>#VALUE!</v>
      </c>
      <c r="P50" s="439" t="e">
        <f ca="1"/>
        <v>#VALUE!</v>
      </c>
      <c r="Q50" s="439" t="e">
        <f ca="1"/>
        <v>#VALUE!</v>
      </c>
      <c r="R50" s="439" t="e">
        <f ca="1"/>
        <v>#VALUE!</v>
      </c>
      <c r="S50" s="439" t="e">
        <f ca="1"/>
        <v>#VALUE!</v>
      </c>
      <c r="T50" s="439" t="e">
        <f ca="1"/>
        <v>#VALUE!</v>
      </c>
      <c r="U50" s="439" t="e">
        <f ca="1"/>
        <v>#VALUE!</v>
      </c>
      <c r="V50" s="439" t="e">
        <f ca="1"/>
        <v>#VALUE!</v>
      </c>
      <c r="W50" s="439" t="e">
        <f ca="1"/>
        <v>#VALUE!</v>
      </c>
      <c r="X50" s="439" t="e">
        <f ca="1"/>
        <v>#VALUE!</v>
      </c>
      <c r="Y50" s="439" t="e">
        <f ca="1"/>
        <v>#VALUE!</v>
      </c>
      <c r="Z50" s="439" t="e">
        <f ca="1"/>
        <v>#VALUE!</v>
      </c>
      <c r="AA50" s="439" t="e">
        <f ca="1"/>
        <v>#VALUE!</v>
      </c>
      <c r="AB50" s="439" t="e">
        <f ca="1"/>
        <v>#VALUE!</v>
      </c>
      <c r="AC50" s="439" t="e">
        <f ca="1"/>
        <v>#VALUE!</v>
      </c>
      <c r="AD50" s="439" t="e">
        <f ca="1"/>
        <v>#VALUE!</v>
      </c>
      <c r="AE50" s="439" t="e">
        <f ca="1"/>
        <v>#VALUE!</v>
      </c>
      <c r="AF50" s="439" t="e">
        <f ca="1"/>
        <v>#VALUE!</v>
      </c>
      <c r="AG50" s="439" t="e">
        <f ca="1"/>
        <v>#VALUE!</v>
      </c>
      <c r="AH50" s="439" t="e">
        <f ca="1"/>
        <v>#VALUE!</v>
      </c>
      <c r="AI50" s="439" t="e">
        <f ca="1"/>
        <v>#VALUE!</v>
      </c>
      <c r="AJ50" s="439" t="e">
        <f ca="1"/>
        <v>#VALUE!</v>
      </c>
      <c r="AK50" s="439" t="e">
        <f ca="1"/>
        <v>#VALUE!</v>
      </c>
      <c r="AL50" s="439" t="e">
        <f ca="1"/>
        <v>#VALUE!</v>
      </c>
      <c r="AM50" s="439" t="e">
        <f ca="1"/>
        <v>#VALUE!</v>
      </c>
      <c r="AN50" s="439" t="e">
        <f ca="1"/>
        <v>#VALUE!</v>
      </c>
      <c r="AO50" s="439" t="e">
        <f ca="1"/>
        <v>#VALUE!</v>
      </c>
      <c r="AP50" s="439" t="e">
        <f ca="1"/>
        <v>#VALUE!</v>
      </c>
      <c r="AQ50" s="439" t="e">
        <f ca="1"/>
        <v>#VALUE!</v>
      </c>
      <c r="AR50" s="439" t="e">
        <f ca="1"/>
        <v>#VALUE!</v>
      </c>
      <c r="AS50" s="439" t="e">
        <f ca="1"/>
        <v>#VALUE!</v>
      </c>
      <c r="AT50" s="439" t="e">
        <f ca="1"/>
        <v>#VALUE!</v>
      </c>
      <c r="AU50" s="439" t="e">
        <f ca="1"/>
        <v>#VALUE!</v>
      </c>
      <c r="AV50" s="439" t="e">
        <f ca="1"/>
        <v>#VALUE!</v>
      </c>
      <c r="AW50" s="439" t="e">
        <f ca="1"/>
        <v>#VALUE!</v>
      </c>
      <c r="AX50" s="439" t="e">
        <f ca="1"/>
        <v>#VALUE!</v>
      </c>
      <c r="AY50" s="439" t="e">
        <f ca="1"/>
        <v>#VALUE!</v>
      </c>
      <c r="AZ50" s="439" t="e">
        <f ca="1"/>
        <v>#VALUE!</v>
      </c>
      <c r="BA50" s="439" t="e">
        <f ca="1"/>
        <v>#VALUE!</v>
      </c>
      <c r="BB50" s="439" t="e">
        <f ca="1"/>
        <v>#VALUE!</v>
      </c>
      <c r="BC50" s="439" t="e">
        <f ca="1"/>
        <v>#VALUE!</v>
      </c>
      <c r="BD50" s="439" t="e">
        <f ca="1"/>
        <v>#VALUE!</v>
      </c>
      <c r="BE50" s="439" t="e">
        <f ca="1"/>
        <v>#VALUE!</v>
      </c>
      <c r="BF50" s="439" t="e">
        <f ca="1"/>
        <v>#VALUE!</v>
      </c>
      <c r="BG50" s="439" t="e">
        <f ca="1"/>
        <v>#VALUE!</v>
      </c>
      <c r="BH50" s="439" t="e">
        <f ca="1"/>
        <v>#VALUE!</v>
      </c>
      <c r="BI50" s="439" t="e">
        <f ca="1"/>
        <v>#VALUE!</v>
      </c>
      <c r="BJ50" s="439" t="e">
        <f ca="1"/>
        <v>#VALUE!</v>
      </c>
      <c r="BK50" s="439" t="e">
        <f ca="1"/>
        <v>#VALUE!</v>
      </c>
      <c r="BL50" s="439" t="e">
        <f ca="1"/>
        <v>#VALUE!</v>
      </c>
      <c r="BM50" s="439" t="e">
        <f ca="1"/>
        <v>#VALUE!</v>
      </c>
      <c r="BN50" s="439" t="e">
        <f ca="1"/>
        <v>#VALUE!</v>
      </c>
      <c r="BO50" s="439" t="e">
        <f ca="1"/>
        <v>#VALUE!</v>
      </c>
      <c r="BP50" s="439" t="e">
        <f ca="1"/>
        <v>#VALUE!</v>
      </c>
      <c r="BQ50" s="439" t="e">
        <f ca="1"/>
        <v>#VALUE!</v>
      </c>
      <c r="BR50" s="439" t="e">
        <f ca="1"/>
        <v>#VALUE!</v>
      </c>
      <c r="BS50" s="439" t="e">
        <f ca="1"/>
        <v>#VALUE!</v>
      </c>
      <c r="BT50" s="439" t="e">
        <f ca="1"/>
        <v>#VALUE!</v>
      </c>
      <c r="BU50" s="439" t="e">
        <f ca="1"/>
        <v>#VALUE!</v>
      </c>
      <c r="BV50" s="439" t="e">
        <f ca="1"/>
        <v>#VALUE!</v>
      </c>
      <c r="BW50" s="439" t="e">
        <f ca="1"/>
        <v>#VALUE!</v>
      </c>
      <c r="BX50" s="439" t="e">
        <f ca="1"/>
        <v>#VALUE!</v>
      </c>
    </row>
    <row r="51" spans="4:76">
      <c r="D51" s="439" t="e">
        <f ca="1"/>
        <v>#VALUE!</v>
      </c>
      <c r="E51" s="439" t="e">
        <f ca="1"/>
        <v>#VALUE!</v>
      </c>
      <c r="F51" s="439" t="e">
        <f ca="1"/>
        <v>#VALUE!</v>
      </c>
      <c r="G51" s="439" t="e">
        <f ca="1"/>
        <v>#VALUE!</v>
      </c>
      <c r="H51" s="439" t="e">
        <f ca="1"/>
        <v>#VALUE!</v>
      </c>
      <c r="I51" s="439" t="e">
        <f ca="1"/>
        <v>#VALUE!</v>
      </c>
      <c r="J51" s="439" t="e">
        <f ca="1"/>
        <v>#VALUE!</v>
      </c>
      <c r="K51" s="439" t="e">
        <f ca="1"/>
        <v>#VALUE!</v>
      </c>
      <c r="L51" s="439" t="e">
        <f ca="1"/>
        <v>#VALUE!</v>
      </c>
      <c r="M51" s="439" t="e">
        <f ca="1"/>
        <v>#VALUE!</v>
      </c>
      <c r="N51" s="439" t="e">
        <f ca="1"/>
        <v>#VALUE!</v>
      </c>
      <c r="O51" s="439" t="e">
        <f ca="1"/>
        <v>#VALUE!</v>
      </c>
      <c r="P51" s="439" t="e">
        <f ca="1"/>
        <v>#VALUE!</v>
      </c>
      <c r="Q51" s="439" t="e">
        <f ca="1"/>
        <v>#VALUE!</v>
      </c>
      <c r="R51" s="439" t="e">
        <f ca="1"/>
        <v>#VALUE!</v>
      </c>
      <c r="S51" s="439" t="e">
        <f ca="1"/>
        <v>#VALUE!</v>
      </c>
      <c r="T51" s="439" t="e">
        <f ca="1"/>
        <v>#VALUE!</v>
      </c>
      <c r="U51" s="439" t="e">
        <f ca="1"/>
        <v>#VALUE!</v>
      </c>
      <c r="V51" s="439" t="e">
        <f ca="1"/>
        <v>#VALUE!</v>
      </c>
      <c r="W51" s="439" t="e">
        <f ca="1"/>
        <v>#VALUE!</v>
      </c>
      <c r="X51" s="439" t="e">
        <f ca="1"/>
        <v>#VALUE!</v>
      </c>
      <c r="Y51" s="439" t="e">
        <f ca="1"/>
        <v>#VALUE!</v>
      </c>
      <c r="Z51" s="439" t="e">
        <f ca="1"/>
        <v>#VALUE!</v>
      </c>
      <c r="AA51" s="439" t="e">
        <f ca="1"/>
        <v>#VALUE!</v>
      </c>
      <c r="AB51" s="439" t="e">
        <f ca="1"/>
        <v>#VALUE!</v>
      </c>
      <c r="AC51" s="439" t="e">
        <f ca="1"/>
        <v>#VALUE!</v>
      </c>
      <c r="AD51" s="439" t="e">
        <f ca="1"/>
        <v>#VALUE!</v>
      </c>
      <c r="AE51" s="439" t="e">
        <f ca="1"/>
        <v>#VALUE!</v>
      </c>
      <c r="AF51" s="439" t="e">
        <f ca="1"/>
        <v>#VALUE!</v>
      </c>
      <c r="AG51" s="439" t="e">
        <f ca="1"/>
        <v>#VALUE!</v>
      </c>
      <c r="AH51" s="439" t="e">
        <f ca="1"/>
        <v>#VALUE!</v>
      </c>
      <c r="AI51" s="439" t="e">
        <f ca="1"/>
        <v>#VALUE!</v>
      </c>
      <c r="AJ51" s="439" t="e">
        <f ca="1"/>
        <v>#VALUE!</v>
      </c>
      <c r="AK51" s="439" t="e">
        <f ca="1"/>
        <v>#VALUE!</v>
      </c>
      <c r="AL51" s="439" t="e">
        <f ca="1"/>
        <v>#VALUE!</v>
      </c>
      <c r="AM51" s="439" t="e">
        <f ca="1"/>
        <v>#VALUE!</v>
      </c>
      <c r="AN51" s="439" t="e">
        <f ca="1"/>
        <v>#VALUE!</v>
      </c>
      <c r="AO51" s="439" t="e">
        <f ca="1"/>
        <v>#VALUE!</v>
      </c>
      <c r="AP51" s="439" t="e">
        <f ca="1"/>
        <v>#VALUE!</v>
      </c>
      <c r="AQ51" s="439" t="e">
        <f ca="1"/>
        <v>#VALUE!</v>
      </c>
      <c r="AR51" s="439" t="e">
        <f ca="1"/>
        <v>#VALUE!</v>
      </c>
      <c r="AS51" s="439" t="e">
        <f ca="1"/>
        <v>#VALUE!</v>
      </c>
      <c r="AT51" s="439" t="e">
        <f ca="1"/>
        <v>#VALUE!</v>
      </c>
      <c r="AU51" s="439" t="e">
        <f ca="1"/>
        <v>#VALUE!</v>
      </c>
      <c r="AV51" s="439" t="e">
        <f ca="1"/>
        <v>#VALUE!</v>
      </c>
      <c r="AW51" s="439" t="e">
        <f ca="1"/>
        <v>#VALUE!</v>
      </c>
      <c r="AX51" s="439" t="e">
        <f ca="1"/>
        <v>#VALUE!</v>
      </c>
      <c r="AY51" s="439" t="e">
        <f ca="1"/>
        <v>#VALUE!</v>
      </c>
      <c r="AZ51" s="439" t="e">
        <f ca="1"/>
        <v>#VALUE!</v>
      </c>
      <c r="BA51" s="439" t="e">
        <f ca="1"/>
        <v>#VALUE!</v>
      </c>
      <c r="BB51" s="439" t="e">
        <f ca="1"/>
        <v>#VALUE!</v>
      </c>
      <c r="BC51" s="439" t="e">
        <f ca="1"/>
        <v>#VALUE!</v>
      </c>
      <c r="BD51" s="439" t="e">
        <f ca="1"/>
        <v>#VALUE!</v>
      </c>
      <c r="BE51" s="439" t="e">
        <f ca="1"/>
        <v>#VALUE!</v>
      </c>
      <c r="BF51" s="439" t="e">
        <f ca="1"/>
        <v>#VALUE!</v>
      </c>
      <c r="BG51" s="439" t="e">
        <f ca="1"/>
        <v>#VALUE!</v>
      </c>
      <c r="BH51" s="439" t="e">
        <f ca="1"/>
        <v>#VALUE!</v>
      </c>
      <c r="BI51" s="439" t="e">
        <f ca="1"/>
        <v>#VALUE!</v>
      </c>
      <c r="BJ51" s="439" t="e">
        <f ca="1"/>
        <v>#VALUE!</v>
      </c>
      <c r="BK51" s="439" t="e">
        <f ca="1"/>
        <v>#VALUE!</v>
      </c>
      <c r="BL51" s="439" t="e">
        <f ca="1"/>
        <v>#VALUE!</v>
      </c>
      <c r="BM51" s="439" t="e">
        <f ca="1"/>
        <v>#VALUE!</v>
      </c>
      <c r="BN51" s="439" t="e">
        <f ca="1"/>
        <v>#VALUE!</v>
      </c>
      <c r="BO51" s="439" t="e">
        <f ca="1"/>
        <v>#VALUE!</v>
      </c>
      <c r="BP51" s="439" t="e">
        <f ca="1"/>
        <v>#VALUE!</v>
      </c>
      <c r="BQ51" s="439" t="e">
        <f ca="1"/>
        <v>#VALUE!</v>
      </c>
      <c r="BR51" s="439" t="e">
        <f ca="1"/>
        <v>#VALUE!</v>
      </c>
      <c r="BS51" s="439" t="e">
        <f ca="1"/>
        <v>#VALUE!</v>
      </c>
      <c r="BT51" s="439" t="e">
        <f ca="1"/>
        <v>#VALUE!</v>
      </c>
      <c r="BU51" s="439" t="e">
        <f ca="1"/>
        <v>#VALUE!</v>
      </c>
      <c r="BV51" s="439" t="e">
        <f ca="1"/>
        <v>#VALUE!</v>
      </c>
      <c r="BW51" s="439" t="e">
        <f ca="1"/>
        <v>#VALUE!</v>
      </c>
      <c r="BX51" s="439" t="e">
        <f ca="1"/>
        <v>#VALUE!</v>
      </c>
    </row>
    <row r="52" spans="4:76">
      <c r="D52" s="439" t="e">
        <f ca="1"/>
        <v>#VALUE!</v>
      </c>
      <c r="E52" s="439" t="e">
        <f ca="1"/>
        <v>#VALUE!</v>
      </c>
      <c r="F52" s="439" t="e">
        <f ca="1"/>
        <v>#VALUE!</v>
      </c>
      <c r="G52" s="439" t="e">
        <f ca="1"/>
        <v>#VALUE!</v>
      </c>
      <c r="H52" s="439" t="e">
        <f ca="1"/>
        <v>#VALUE!</v>
      </c>
      <c r="I52" s="439" t="e">
        <f ca="1"/>
        <v>#VALUE!</v>
      </c>
      <c r="J52" s="439" t="e">
        <f ca="1"/>
        <v>#VALUE!</v>
      </c>
      <c r="K52" s="439" t="e">
        <f ca="1"/>
        <v>#VALUE!</v>
      </c>
      <c r="L52" s="439" t="e">
        <f ca="1"/>
        <v>#VALUE!</v>
      </c>
      <c r="M52" s="439" t="e">
        <f ca="1"/>
        <v>#VALUE!</v>
      </c>
      <c r="N52" s="439" t="e">
        <f ca="1"/>
        <v>#VALUE!</v>
      </c>
      <c r="O52" s="439" t="e">
        <f ca="1"/>
        <v>#VALUE!</v>
      </c>
      <c r="P52" s="439" t="e">
        <f ca="1"/>
        <v>#VALUE!</v>
      </c>
      <c r="Q52" s="439" t="e">
        <f ca="1"/>
        <v>#VALUE!</v>
      </c>
      <c r="R52" s="439" t="e">
        <f ca="1"/>
        <v>#VALUE!</v>
      </c>
      <c r="S52" s="439" t="e">
        <f ca="1"/>
        <v>#VALUE!</v>
      </c>
      <c r="T52" s="439" t="e">
        <f ca="1"/>
        <v>#VALUE!</v>
      </c>
      <c r="U52" s="439" t="e">
        <f ca="1"/>
        <v>#VALUE!</v>
      </c>
      <c r="V52" s="439" t="e">
        <f ca="1"/>
        <v>#VALUE!</v>
      </c>
      <c r="W52" s="439" t="e">
        <f ca="1"/>
        <v>#VALUE!</v>
      </c>
      <c r="X52" s="439" t="e">
        <f ca="1"/>
        <v>#VALUE!</v>
      </c>
      <c r="Y52" s="439" t="e">
        <f ca="1"/>
        <v>#VALUE!</v>
      </c>
      <c r="Z52" s="439" t="e">
        <f ca="1"/>
        <v>#VALUE!</v>
      </c>
      <c r="AA52" s="439" t="e">
        <f ca="1"/>
        <v>#VALUE!</v>
      </c>
      <c r="AB52" s="439" t="e">
        <f ca="1"/>
        <v>#VALUE!</v>
      </c>
      <c r="AC52" s="439" t="e">
        <f ca="1"/>
        <v>#VALUE!</v>
      </c>
      <c r="AD52" s="439" t="e">
        <f ca="1"/>
        <v>#VALUE!</v>
      </c>
      <c r="AE52" s="439" t="e">
        <f ca="1"/>
        <v>#VALUE!</v>
      </c>
      <c r="AF52" s="439" t="e">
        <f ca="1"/>
        <v>#VALUE!</v>
      </c>
      <c r="AG52" s="439" t="e">
        <f ca="1"/>
        <v>#VALUE!</v>
      </c>
      <c r="AH52" s="439" t="e">
        <f ca="1"/>
        <v>#VALUE!</v>
      </c>
      <c r="AI52" s="439" t="e">
        <f ca="1"/>
        <v>#VALUE!</v>
      </c>
      <c r="AJ52" s="439" t="e">
        <f ca="1"/>
        <v>#VALUE!</v>
      </c>
      <c r="AK52" s="439" t="e">
        <f ca="1"/>
        <v>#VALUE!</v>
      </c>
      <c r="AL52" s="439" t="e">
        <f ca="1"/>
        <v>#VALUE!</v>
      </c>
      <c r="AM52" s="439" t="e">
        <f ca="1"/>
        <v>#VALUE!</v>
      </c>
      <c r="AN52" s="439" t="e">
        <f ca="1"/>
        <v>#VALUE!</v>
      </c>
      <c r="AO52" s="439" t="e">
        <f ca="1"/>
        <v>#VALUE!</v>
      </c>
      <c r="AP52" s="439" t="e">
        <f ca="1"/>
        <v>#VALUE!</v>
      </c>
      <c r="AQ52" s="439" t="e">
        <f ca="1"/>
        <v>#VALUE!</v>
      </c>
      <c r="AR52" s="439" t="e">
        <f ca="1"/>
        <v>#VALUE!</v>
      </c>
      <c r="AS52" s="439" t="e">
        <f ca="1"/>
        <v>#VALUE!</v>
      </c>
      <c r="AT52" s="439" t="e">
        <f ca="1"/>
        <v>#VALUE!</v>
      </c>
      <c r="AU52" s="439" t="e">
        <f ca="1"/>
        <v>#VALUE!</v>
      </c>
      <c r="AV52" s="439" t="e">
        <f ca="1"/>
        <v>#VALUE!</v>
      </c>
      <c r="AW52" s="439" t="e">
        <f ca="1"/>
        <v>#VALUE!</v>
      </c>
      <c r="AX52" s="439" t="e">
        <f ca="1"/>
        <v>#VALUE!</v>
      </c>
      <c r="AY52" s="439" t="e">
        <f ca="1"/>
        <v>#VALUE!</v>
      </c>
      <c r="AZ52" s="439" t="e">
        <f ca="1"/>
        <v>#VALUE!</v>
      </c>
      <c r="BA52" s="439" t="e">
        <f ca="1"/>
        <v>#VALUE!</v>
      </c>
      <c r="BB52" s="439" t="e">
        <f ca="1"/>
        <v>#VALUE!</v>
      </c>
      <c r="BC52" s="439" t="e">
        <f ca="1"/>
        <v>#VALUE!</v>
      </c>
      <c r="BD52" s="439" t="e">
        <f ca="1"/>
        <v>#VALUE!</v>
      </c>
      <c r="BE52" s="439" t="e">
        <f ca="1"/>
        <v>#VALUE!</v>
      </c>
      <c r="BF52" s="439" t="e">
        <f ca="1"/>
        <v>#VALUE!</v>
      </c>
      <c r="BG52" s="439" t="e">
        <f ca="1"/>
        <v>#VALUE!</v>
      </c>
      <c r="BH52" s="439" t="e">
        <f ca="1"/>
        <v>#VALUE!</v>
      </c>
      <c r="BI52" s="439" t="e">
        <f ca="1"/>
        <v>#VALUE!</v>
      </c>
      <c r="BJ52" s="439" t="e">
        <f ca="1"/>
        <v>#VALUE!</v>
      </c>
      <c r="BK52" s="439" t="e">
        <f ca="1"/>
        <v>#VALUE!</v>
      </c>
      <c r="BL52" s="439" t="e">
        <f ca="1"/>
        <v>#VALUE!</v>
      </c>
      <c r="BM52" s="439" t="e">
        <f ca="1"/>
        <v>#VALUE!</v>
      </c>
      <c r="BN52" s="439" t="e">
        <f ca="1"/>
        <v>#VALUE!</v>
      </c>
      <c r="BO52" s="439" t="e">
        <f ca="1"/>
        <v>#VALUE!</v>
      </c>
      <c r="BP52" s="439" t="e">
        <f ca="1"/>
        <v>#VALUE!</v>
      </c>
      <c r="BQ52" s="439" t="e">
        <f ca="1"/>
        <v>#VALUE!</v>
      </c>
      <c r="BR52" s="439" t="e">
        <f ca="1"/>
        <v>#VALUE!</v>
      </c>
      <c r="BS52" s="439" t="e">
        <f ca="1"/>
        <v>#VALUE!</v>
      </c>
      <c r="BT52" s="439" t="e">
        <f ca="1"/>
        <v>#VALUE!</v>
      </c>
      <c r="BU52" s="439" t="e">
        <f ca="1"/>
        <v>#VALUE!</v>
      </c>
      <c r="BV52" s="439" t="e">
        <f ca="1"/>
        <v>#VALUE!</v>
      </c>
      <c r="BW52" s="439" t="e">
        <f ca="1"/>
        <v>#VALUE!</v>
      </c>
      <c r="BX52" s="439" t="e">
        <f ca="1"/>
        <v>#VALUE!</v>
      </c>
    </row>
    <row r="53" spans="4:76">
      <c r="D53" s="439" t="e">
        <f ca="1"/>
        <v>#VALUE!</v>
      </c>
      <c r="E53" s="439" t="e">
        <f ca="1"/>
        <v>#VALUE!</v>
      </c>
      <c r="F53" s="439" t="e">
        <f ca="1"/>
        <v>#VALUE!</v>
      </c>
      <c r="G53" s="439" t="e">
        <f ca="1"/>
        <v>#VALUE!</v>
      </c>
      <c r="H53" s="439" t="e">
        <f ca="1"/>
        <v>#VALUE!</v>
      </c>
      <c r="I53" s="439" t="e">
        <f ca="1"/>
        <v>#VALUE!</v>
      </c>
      <c r="J53" s="439" t="e">
        <f ca="1"/>
        <v>#VALUE!</v>
      </c>
      <c r="K53" s="439" t="e">
        <f ca="1"/>
        <v>#VALUE!</v>
      </c>
      <c r="L53" s="439" t="e">
        <f ca="1"/>
        <v>#VALUE!</v>
      </c>
      <c r="M53" s="439" t="e">
        <f ca="1"/>
        <v>#VALUE!</v>
      </c>
      <c r="N53" s="439" t="e">
        <f ca="1"/>
        <v>#VALUE!</v>
      </c>
      <c r="O53" s="439" t="e">
        <f ca="1"/>
        <v>#VALUE!</v>
      </c>
      <c r="P53" s="439" t="e">
        <f ca="1"/>
        <v>#VALUE!</v>
      </c>
      <c r="Q53" s="439" t="e">
        <f ca="1"/>
        <v>#VALUE!</v>
      </c>
      <c r="R53" s="439" t="e">
        <f ca="1"/>
        <v>#VALUE!</v>
      </c>
      <c r="S53" s="439" t="e">
        <f ca="1"/>
        <v>#VALUE!</v>
      </c>
      <c r="T53" s="439" t="e">
        <f ca="1"/>
        <v>#VALUE!</v>
      </c>
      <c r="U53" s="439" t="e">
        <f ca="1"/>
        <v>#VALUE!</v>
      </c>
      <c r="V53" s="439" t="e">
        <f ca="1"/>
        <v>#VALUE!</v>
      </c>
      <c r="W53" s="439" t="e">
        <f ca="1"/>
        <v>#VALUE!</v>
      </c>
      <c r="X53" s="439" t="e">
        <f ca="1"/>
        <v>#VALUE!</v>
      </c>
      <c r="Y53" s="439" t="e">
        <f ca="1"/>
        <v>#VALUE!</v>
      </c>
      <c r="Z53" s="439" t="e">
        <f ca="1"/>
        <v>#VALUE!</v>
      </c>
      <c r="AA53" s="439" t="e">
        <f ca="1"/>
        <v>#VALUE!</v>
      </c>
      <c r="AB53" s="439" t="e">
        <f ca="1"/>
        <v>#VALUE!</v>
      </c>
      <c r="AC53" s="439" t="e">
        <f ca="1"/>
        <v>#VALUE!</v>
      </c>
      <c r="AD53" s="439" t="e">
        <f ca="1"/>
        <v>#VALUE!</v>
      </c>
      <c r="AE53" s="439" t="e">
        <f ca="1"/>
        <v>#VALUE!</v>
      </c>
      <c r="AF53" s="439" t="e">
        <f ca="1"/>
        <v>#VALUE!</v>
      </c>
      <c r="AG53" s="439" t="e">
        <f ca="1"/>
        <v>#VALUE!</v>
      </c>
      <c r="AH53" s="439" t="e">
        <f ca="1"/>
        <v>#VALUE!</v>
      </c>
      <c r="AI53" s="439" t="e">
        <f ca="1"/>
        <v>#VALUE!</v>
      </c>
      <c r="AJ53" s="439" t="e">
        <f ca="1"/>
        <v>#VALUE!</v>
      </c>
      <c r="AK53" s="439" t="e">
        <f ca="1"/>
        <v>#VALUE!</v>
      </c>
      <c r="AL53" s="439" t="e">
        <f ca="1"/>
        <v>#VALUE!</v>
      </c>
      <c r="AM53" s="439" t="e">
        <f ca="1"/>
        <v>#VALUE!</v>
      </c>
      <c r="AN53" s="439" t="e">
        <f ca="1"/>
        <v>#VALUE!</v>
      </c>
      <c r="AO53" s="439" t="e">
        <f ca="1"/>
        <v>#VALUE!</v>
      </c>
      <c r="AP53" s="439" t="e">
        <f ca="1"/>
        <v>#VALUE!</v>
      </c>
      <c r="AQ53" s="439" t="e">
        <f ca="1"/>
        <v>#VALUE!</v>
      </c>
      <c r="AR53" s="439" t="e">
        <f ca="1"/>
        <v>#VALUE!</v>
      </c>
      <c r="AS53" s="439" t="e">
        <f ca="1"/>
        <v>#VALUE!</v>
      </c>
      <c r="AT53" s="439" t="e">
        <f ca="1"/>
        <v>#VALUE!</v>
      </c>
      <c r="AU53" s="439" t="e">
        <f ca="1"/>
        <v>#VALUE!</v>
      </c>
      <c r="AV53" s="439" t="e">
        <f ca="1"/>
        <v>#VALUE!</v>
      </c>
      <c r="AW53" s="439" t="e">
        <f ca="1"/>
        <v>#VALUE!</v>
      </c>
      <c r="AX53" s="439" t="e">
        <f ca="1"/>
        <v>#VALUE!</v>
      </c>
      <c r="AY53" s="439" t="e">
        <f ca="1"/>
        <v>#VALUE!</v>
      </c>
      <c r="AZ53" s="439" t="e">
        <f ca="1"/>
        <v>#VALUE!</v>
      </c>
      <c r="BA53" s="439" t="e">
        <f ca="1"/>
        <v>#VALUE!</v>
      </c>
      <c r="BB53" s="439" t="e">
        <f ca="1"/>
        <v>#VALUE!</v>
      </c>
      <c r="BC53" s="439" t="e">
        <f ca="1"/>
        <v>#VALUE!</v>
      </c>
      <c r="BD53" s="439" t="e">
        <f ca="1"/>
        <v>#VALUE!</v>
      </c>
      <c r="BE53" s="439" t="e">
        <f ca="1"/>
        <v>#VALUE!</v>
      </c>
      <c r="BF53" s="439" t="e">
        <f ca="1"/>
        <v>#VALUE!</v>
      </c>
      <c r="BG53" s="439" t="e">
        <f ca="1"/>
        <v>#VALUE!</v>
      </c>
      <c r="BH53" s="439" t="e">
        <f ca="1"/>
        <v>#VALUE!</v>
      </c>
      <c r="BI53" s="439" t="e">
        <f ca="1"/>
        <v>#VALUE!</v>
      </c>
      <c r="BJ53" s="439" t="e">
        <f ca="1"/>
        <v>#VALUE!</v>
      </c>
      <c r="BK53" s="439" t="e">
        <f ca="1"/>
        <v>#VALUE!</v>
      </c>
      <c r="BL53" s="439" t="e">
        <f ca="1"/>
        <v>#VALUE!</v>
      </c>
      <c r="BM53" s="439" t="e">
        <f ca="1"/>
        <v>#VALUE!</v>
      </c>
      <c r="BN53" s="439" t="e">
        <f ca="1"/>
        <v>#VALUE!</v>
      </c>
      <c r="BO53" s="439" t="e">
        <f ca="1"/>
        <v>#VALUE!</v>
      </c>
      <c r="BP53" s="439" t="e">
        <f ca="1"/>
        <v>#VALUE!</v>
      </c>
      <c r="BQ53" s="439" t="e">
        <f ca="1"/>
        <v>#VALUE!</v>
      </c>
      <c r="BR53" s="439" t="e">
        <f ca="1"/>
        <v>#VALUE!</v>
      </c>
      <c r="BS53" s="439" t="e">
        <f ca="1"/>
        <v>#VALUE!</v>
      </c>
      <c r="BT53" s="439" t="e">
        <f ca="1"/>
        <v>#VALUE!</v>
      </c>
      <c r="BU53" s="439" t="e">
        <f ca="1"/>
        <v>#VALUE!</v>
      </c>
      <c r="BV53" s="439" t="e">
        <f ca="1"/>
        <v>#VALUE!</v>
      </c>
      <c r="BW53" s="439" t="e">
        <f ca="1"/>
        <v>#VALUE!</v>
      </c>
      <c r="BX53" s="439" t="e">
        <f ca="1"/>
        <v>#VALUE!</v>
      </c>
    </row>
    <row r="54" spans="4:76">
      <c r="D54" s="439" t="e">
        <f ca="1"/>
        <v>#VALUE!</v>
      </c>
      <c r="E54" s="439" t="e">
        <f ca="1"/>
        <v>#VALUE!</v>
      </c>
      <c r="F54" s="439" t="e">
        <f ca="1"/>
        <v>#VALUE!</v>
      </c>
      <c r="G54" s="439" t="e">
        <f ca="1"/>
        <v>#VALUE!</v>
      </c>
      <c r="H54" s="439" t="e">
        <f ca="1"/>
        <v>#VALUE!</v>
      </c>
      <c r="I54" s="439" t="e">
        <f ca="1"/>
        <v>#VALUE!</v>
      </c>
      <c r="J54" s="439" t="e">
        <f ca="1"/>
        <v>#VALUE!</v>
      </c>
      <c r="K54" s="439" t="e">
        <f ca="1"/>
        <v>#VALUE!</v>
      </c>
      <c r="L54" s="439" t="e">
        <f ca="1"/>
        <v>#VALUE!</v>
      </c>
      <c r="M54" s="439" t="e">
        <f ca="1"/>
        <v>#VALUE!</v>
      </c>
      <c r="N54" s="439" t="e">
        <f ca="1"/>
        <v>#VALUE!</v>
      </c>
      <c r="O54" s="439" t="e">
        <f ca="1"/>
        <v>#VALUE!</v>
      </c>
      <c r="P54" s="439" t="e">
        <f ca="1"/>
        <v>#VALUE!</v>
      </c>
      <c r="Q54" s="439" t="e">
        <f ca="1"/>
        <v>#VALUE!</v>
      </c>
      <c r="R54" s="439" t="e">
        <f ca="1"/>
        <v>#VALUE!</v>
      </c>
      <c r="S54" s="439" t="e">
        <f ca="1"/>
        <v>#VALUE!</v>
      </c>
      <c r="T54" s="439" t="e">
        <f ca="1"/>
        <v>#VALUE!</v>
      </c>
      <c r="U54" s="439" t="e">
        <f ca="1"/>
        <v>#VALUE!</v>
      </c>
      <c r="V54" s="439" t="e">
        <f ca="1"/>
        <v>#VALUE!</v>
      </c>
      <c r="W54" s="439" t="e">
        <f ca="1"/>
        <v>#VALUE!</v>
      </c>
      <c r="X54" s="439" t="e">
        <f ca="1"/>
        <v>#VALUE!</v>
      </c>
      <c r="Y54" s="439" t="e">
        <f ca="1"/>
        <v>#VALUE!</v>
      </c>
      <c r="Z54" s="439" t="e">
        <f ca="1"/>
        <v>#VALUE!</v>
      </c>
      <c r="AA54" s="439" t="e">
        <f ca="1"/>
        <v>#VALUE!</v>
      </c>
      <c r="AB54" s="439" t="e">
        <f ca="1"/>
        <v>#VALUE!</v>
      </c>
      <c r="AC54" s="439" t="e">
        <f ca="1"/>
        <v>#VALUE!</v>
      </c>
      <c r="AD54" s="439" t="e">
        <f ca="1"/>
        <v>#VALUE!</v>
      </c>
      <c r="AE54" s="439" t="e">
        <f ca="1"/>
        <v>#VALUE!</v>
      </c>
      <c r="AF54" s="439" t="e">
        <f ca="1"/>
        <v>#VALUE!</v>
      </c>
      <c r="AG54" s="439" t="e">
        <f ca="1"/>
        <v>#VALUE!</v>
      </c>
      <c r="AH54" s="439" t="e">
        <f ca="1"/>
        <v>#VALUE!</v>
      </c>
      <c r="AI54" s="439" t="e">
        <f ca="1"/>
        <v>#VALUE!</v>
      </c>
      <c r="AJ54" s="439" t="e">
        <f ca="1"/>
        <v>#VALUE!</v>
      </c>
      <c r="AK54" s="439" t="e">
        <f ca="1"/>
        <v>#VALUE!</v>
      </c>
      <c r="AL54" s="439" t="e">
        <f ca="1"/>
        <v>#VALUE!</v>
      </c>
      <c r="AM54" s="439" t="e">
        <f ca="1"/>
        <v>#VALUE!</v>
      </c>
      <c r="AN54" s="439" t="e">
        <f ca="1"/>
        <v>#VALUE!</v>
      </c>
      <c r="AO54" s="439" t="e">
        <f ca="1"/>
        <v>#VALUE!</v>
      </c>
      <c r="AP54" s="439" t="e">
        <f ca="1"/>
        <v>#VALUE!</v>
      </c>
      <c r="AQ54" s="439" t="e">
        <f ca="1"/>
        <v>#VALUE!</v>
      </c>
      <c r="AR54" s="439" t="e">
        <f ca="1"/>
        <v>#VALUE!</v>
      </c>
      <c r="AS54" s="439" t="e">
        <f ca="1"/>
        <v>#VALUE!</v>
      </c>
      <c r="AT54" s="439" t="e">
        <f ca="1"/>
        <v>#VALUE!</v>
      </c>
      <c r="AU54" s="439" t="e">
        <f ca="1"/>
        <v>#VALUE!</v>
      </c>
      <c r="AV54" s="439" t="e">
        <f ca="1"/>
        <v>#VALUE!</v>
      </c>
      <c r="AW54" s="439" t="e">
        <f ca="1"/>
        <v>#VALUE!</v>
      </c>
      <c r="AX54" s="439" t="e">
        <f ca="1"/>
        <v>#VALUE!</v>
      </c>
      <c r="AY54" s="439" t="e">
        <f ca="1"/>
        <v>#VALUE!</v>
      </c>
      <c r="AZ54" s="439" t="e">
        <f ca="1"/>
        <v>#VALUE!</v>
      </c>
      <c r="BA54" s="439" t="e">
        <f ca="1"/>
        <v>#VALUE!</v>
      </c>
      <c r="BB54" s="439" t="e">
        <f ca="1"/>
        <v>#VALUE!</v>
      </c>
      <c r="BC54" s="439" t="e">
        <f ca="1"/>
        <v>#VALUE!</v>
      </c>
      <c r="BD54" s="439" t="e">
        <f ca="1"/>
        <v>#VALUE!</v>
      </c>
      <c r="BE54" s="439" t="e">
        <f ca="1"/>
        <v>#VALUE!</v>
      </c>
      <c r="BF54" s="439" t="e">
        <f ca="1"/>
        <v>#VALUE!</v>
      </c>
      <c r="BG54" s="439" t="e">
        <f ca="1"/>
        <v>#VALUE!</v>
      </c>
      <c r="BH54" s="439" t="e">
        <f ca="1"/>
        <v>#VALUE!</v>
      </c>
      <c r="BI54" s="439" t="e">
        <f ca="1"/>
        <v>#VALUE!</v>
      </c>
      <c r="BJ54" s="439" t="e">
        <f ca="1"/>
        <v>#VALUE!</v>
      </c>
      <c r="BK54" s="439" t="e">
        <f ca="1"/>
        <v>#VALUE!</v>
      </c>
      <c r="BL54" s="439" t="e">
        <f ca="1"/>
        <v>#VALUE!</v>
      </c>
      <c r="BM54" s="439" t="e">
        <f ca="1"/>
        <v>#VALUE!</v>
      </c>
      <c r="BN54" s="439" t="e">
        <f ca="1"/>
        <v>#VALUE!</v>
      </c>
      <c r="BO54" s="439" t="e">
        <f ca="1"/>
        <v>#VALUE!</v>
      </c>
      <c r="BP54" s="439" t="e">
        <f ca="1"/>
        <v>#VALUE!</v>
      </c>
      <c r="BQ54" s="439" t="e">
        <f ca="1"/>
        <v>#VALUE!</v>
      </c>
      <c r="BR54" s="439" t="e">
        <f ca="1"/>
        <v>#VALUE!</v>
      </c>
      <c r="BS54" s="439" t="e">
        <f ca="1"/>
        <v>#VALUE!</v>
      </c>
      <c r="BT54" s="439" t="e">
        <f ca="1"/>
        <v>#VALUE!</v>
      </c>
      <c r="BU54" s="439" t="e">
        <f ca="1"/>
        <v>#VALUE!</v>
      </c>
      <c r="BV54" s="439" t="e">
        <f ca="1"/>
        <v>#VALUE!</v>
      </c>
      <c r="BW54" s="439" t="e">
        <f ca="1"/>
        <v>#VALUE!</v>
      </c>
      <c r="BX54" s="439" t="e">
        <f ca="1"/>
        <v>#VALUE!</v>
      </c>
    </row>
    <row r="55" spans="4:76">
      <c r="D55" s="439" t="e">
        <f ca="1"/>
        <v>#VALUE!</v>
      </c>
      <c r="E55" s="439" t="e">
        <f ca="1"/>
        <v>#VALUE!</v>
      </c>
      <c r="F55" s="439" t="e">
        <f ca="1"/>
        <v>#VALUE!</v>
      </c>
      <c r="G55" s="439" t="e">
        <f ca="1"/>
        <v>#VALUE!</v>
      </c>
      <c r="H55" s="439" t="e">
        <f ca="1"/>
        <v>#VALUE!</v>
      </c>
      <c r="I55" s="439" t="e">
        <f ca="1"/>
        <v>#VALUE!</v>
      </c>
      <c r="J55" s="439" t="e">
        <f ca="1"/>
        <v>#VALUE!</v>
      </c>
      <c r="K55" s="439" t="e">
        <f ca="1"/>
        <v>#VALUE!</v>
      </c>
      <c r="L55" s="439" t="e">
        <f ca="1"/>
        <v>#VALUE!</v>
      </c>
      <c r="M55" s="439" t="e">
        <f ca="1"/>
        <v>#VALUE!</v>
      </c>
      <c r="N55" s="439" t="e">
        <f ca="1"/>
        <v>#VALUE!</v>
      </c>
      <c r="O55" s="439" t="e">
        <f ca="1"/>
        <v>#VALUE!</v>
      </c>
      <c r="P55" s="439" t="e">
        <f ca="1"/>
        <v>#VALUE!</v>
      </c>
      <c r="Q55" s="439" t="e">
        <f ca="1"/>
        <v>#VALUE!</v>
      </c>
      <c r="R55" s="439" t="e">
        <f ca="1"/>
        <v>#VALUE!</v>
      </c>
      <c r="S55" s="439" t="e">
        <f ca="1"/>
        <v>#VALUE!</v>
      </c>
      <c r="T55" s="439" t="e">
        <f ca="1"/>
        <v>#VALUE!</v>
      </c>
      <c r="U55" s="439" t="e">
        <f ca="1"/>
        <v>#VALUE!</v>
      </c>
      <c r="V55" s="439" t="e">
        <f ca="1"/>
        <v>#VALUE!</v>
      </c>
      <c r="W55" s="439" t="e">
        <f ca="1"/>
        <v>#VALUE!</v>
      </c>
      <c r="X55" s="439" t="e">
        <f ca="1"/>
        <v>#VALUE!</v>
      </c>
      <c r="Y55" s="439" t="e">
        <f ca="1"/>
        <v>#VALUE!</v>
      </c>
      <c r="Z55" s="439" t="e">
        <f ca="1"/>
        <v>#VALUE!</v>
      </c>
      <c r="AA55" s="439" t="e">
        <f ca="1"/>
        <v>#VALUE!</v>
      </c>
      <c r="AB55" s="439" t="e">
        <f ca="1"/>
        <v>#VALUE!</v>
      </c>
      <c r="AC55" s="439" t="e">
        <f ca="1"/>
        <v>#VALUE!</v>
      </c>
      <c r="AD55" s="439" t="e">
        <f ca="1"/>
        <v>#VALUE!</v>
      </c>
      <c r="AE55" s="439" t="e">
        <f ca="1"/>
        <v>#VALUE!</v>
      </c>
      <c r="AF55" s="439" t="e">
        <f ca="1"/>
        <v>#VALUE!</v>
      </c>
      <c r="AG55" s="439" t="e">
        <f ca="1"/>
        <v>#VALUE!</v>
      </c>
      <c r="AH55" s="439" t="e">
        <f ca="1"/>
        <v>#VALUE!</v>
      </c>
      <c r="AI55" s="439" t="e">
        <f ca="1"/>
        <v>#VALUE!</v>
      </c>
      <c r="AJ55" s="439" t="e">
        <f ca="1"/>
        <v>#VALUE!</v>
      </c>
      <c r="AK55" s="439" t="e">
        <f ca="1"/>
        <v>#VALUE!</v>
      </c>
      <c r="AL55" s="439" t="e">
        <f ca="1"/>
        <v>#VALUE!</v>
      </c>
      <c r="AM55" s="439" t="e">
        <f ca="1"/>
        <v>#VALUE!</v>
      </c>
      <c r="AN55" s="439" t="e">
        <f ca="1"/>
        <v>#VALUE!</v>
      </c>
      <c r="AO55" s="439" t="e">
        <f ca="1"/>
        <v>#VALUE!</v>
      </c>
      <c r="AP55" s="439" t="e">
        <f ca="1"/>
        <v>#VALUE!</v>
      </c>
      <c r="AQ55" s="439" t="e">
        <f ca="1"/>
        <v>#VALUE!</v>
      </c>
      <c r="AR55" s="439" t="e">
        <f ca="1"/>
        <v>#VALUE!</v>
      </c>
      <c r="AS55" s="439" t="e">
        <f ca="1"/>
        <v>#VALUE!</v>
      </c>
      <c r="AT55" s="439" t="e">
        <f ca="1"/>
        <v>#VALUE!</v>
      </c>
      <c r="AU55" s="439" t="e">
        <f ca="1"/>
        <v>#VALUE!</v>
      </c>
      <c r="AV55" s="439" t="e">
        <f ca="1"/>
        <v>#VALUE!</v>
      </c>
      <c r="AW55" s="439" t="e">
        <f ca="1"/>
        <v>#VALUE!</v>
      </c>
      <c r="AX55" s="439" t="e">
        <f ca="1"/>
        <v>#VALUE!</v>
      </c>
      <c r="AY55" s="439" t="e">
        <f ca="1"/>
        <v>#VALUE!</v>
      </c>
      <c r="AZ55" s="439" t="e">
        <f ca="1"/>
        <v>#VALUE!</v>
      </c>
      <c r="BA55" s="439" t="e">
        <f ca="1"/>
        <v>#VALUE!</v>
      </c>
      <c r="BB55" s="439" t="e">
        <f ca="1"/>
        <v>#VALUE!</v>
      </c>
      <c r="BC55" s="439" t="e">
        <f ca="1"/>
        <v>#VALUE!</v>
      </c>
      <c r="BD55" s="439" t="e">
        <f ca="1"/>
        <v>#VALUE!</v>
      </c>
      <c r="BE55" s="439" t="e">
        <f ca="1"/>
        <v>#VALUE!</v>
      </c>
      <c r="BF55" s="439" t="e">
        <f ca="1"/>
        <v>#VALUE!</v>
      </c>
      <c r="BG55" s="439" t="e">
        <f ca="1"/>
        <v>#VALUE!</v>
      </c>
      <c r="BH55" s="439" t="e">
        <f ca="1"/>
        <v>#VALUE!</v>
      </c>
      <c r="BI55" s="439" t="e">
        <f ca="1"/>
        <v>#VALUE!</v>
      </c>
      <c r="BJ55" s="439" t="e">
        <f ca="1"/>
        <v>#VALUE!</v>
      </c>
      <c r="BK55" s="439" t="e">
        <f ca="1"/>
        <v>#VALUE!</v>
      </c>
      <c r="BL55" s="439" t="e">
        <f ca="1"/>
        <v>#VALUE!</v>
      </c>
      <c r="BM55" s="439" t="e">
        <f ca="1"/>
        <v>#VALUE!</v>
      </c>
      <c r="BN55" s="439" t="e">
        <f ca="1"/>
        <v>#VALUE!</v>
      </c>
      <c r="BO55" s="439" t="e">
        <f ca="1"/>
        <v>#VALUE!</v>
      </c>
      <c r="BP55" s="439" t="e">
        <f ca="1"/>
        <v>#VALUE!</v>
      </c>
      <c r="BQ55" s="439" t="e">
        <f ca="1"/>
        <v>#VALUE!</v>
      </c>
      <c r="BR55" s="439" t="e">
        <f ca="1"/>
        <v>#VALUE!</v>
      </c>
      <c r="BS55" s="439" t="e">
        <f ca="1"/>
        <v>#VALUE!</v>
      </c>
      <c r="BT55" s="439" t="e">
        <f ca="1"/>
        <v>#VALUE!</v>
      </c>
      <c r="BU55" s="439" t="e">
        <f ca="1"/>
        <v>#VALUE!</v>
      </c>
      <c r="BV55" s="439" t="e">
        <f ca="1"/>
        <v>#VALUE!</v>
      </c>
      <c r="BW55" s="439" t="e">
        <f ca="1"/>
        <v>#VALUE!</v>
      </c>
      <c r="BX55" s="439" t="e">
        <f ca="1"/>
        <v>#VALUE!</v>
      </c>
    </row>
    <row r="56" spans="4:76">
      <c r="D56" s="439" t="e">
        <f ca="1"/>
        <v>#VALUE!</v>
      </c>
      <c r="E56" s="439" t="e">
        <f ca="1"/>
        <v>#VALUE!</v>
      </c>
      <c r="F56" s="439" t="e">
        <f ca="1"/>
        <v>#VALUE!</v>
      </c>
      <c r="G56" s="439" t="e">
        <f ca="1"/>
        <v>#VALUE!</v>
      </c>
      <c r="H56" s="439" t="e">
        <f ca="1"/>
        <v>#VALUE!</v>
      </c>
      <c r="I56" s="439" t="e">
        <f ca="1"/>
        <v>#VALUE!</v>
      </c>
      <c r="J56" s="439" t="e">
        <f ca="1"/>
        <v>#VALUE!</v>
      </c>
      <c r="K56" s="439" t="e">
        <f ca="1"/>
        <v>#VALUE!</v>
      </c>
      <c r="L56" s="439" t="e">
        <f ca="1"/>
        <v>#VALUE!</v>
      </c>
      <c r="M56" s="439" t="e">
        <f ca="1"/>
        <v>#VALUE!</v>
      </c>
      <c r="N56" s="439" t="e">
        <f ca="1"/>
        <v>#VALUE!</v>
      </c>
      <c r="O56" s="439" t="e">
        <f ca="1"/>
        <v>#VALUE!</v>
      </c>
      <c r="P56" s="439" t="e">
        <f ca="1"/>
        <v>#VALUE!</v>
      </c>
      <c r="Q56" s="439" t="e">
        <f ca="1"/>
        <v>#VALUE!</v>
      </c>
      <c r="R56" s="439" t="e">
        <f ca="1"/>
        <v>#VALUE!</v>
      </c>
      <c r="S56" s="439" t="e">
        <f ca="1"/>
        <v>#VALUE!</v>
      </c>
      <c r="T56" s="439" t="e">
        <f ca="1"/>
        <v>#VALUE!</v>
      </c>
      <c r="U56" s="439" t="e">
        <f ca="1"/>
        <v>#VALUE!</v>
      </c>
      <c r="V56" s="439" t="e">
        <f ca="1"/>
        <v>#VALUE!</v>
      </c>
      <c r="W56" s="439" t="e">
        <f ca="1"/>
        <v>#VALUE!</v>
      </c>
      <c r="X56" s="439" t="e">
        <f ca="1"/>
        <v>#VALUE!</v>
      </c>
      <c r="Y56" s="439" t="e">
        <f ca="1"/>
        <v>#VALUE!</v>
      </c>
      <c r="Z56" s="439" t="e">
        <f ca="1"/>
        <v>#VALUE!</v>
      </c>
      <c r="AA56" s="439" t="e">
        <f ca="1"/>
        <v>#VALUE!</v>
      </c>
      <c r="AB56" s="439" t="e">
        <f ca="1"/>
        <v>#VALUE!</v>
      </c>
      <c r="AC56" s="439" t="e">
        <f ca="1"/>
        <v>#VALUE!</v>
      </c>
      <c r="AD56" s="439" t="e">
        <f ca="1"/>
        <v>#VALUE!</v>
      </c>
      <c r="AE56" s="439" t="e">
        <f ca="1"/>
        <v>#VALUE!</v>
      </c>
      <c r="AF56" s="439" t="e">
        <f ca="1"/>
        <v>#VALUE!</v>
      </c>
      <c r="AG56" s="439" t="e">
        <f ca="1"/>
        <v>#VALUE!</v>
      </c>
      <c r="AH56" s="439" t="e">
        <f ca="1"/>
        <v>#VALUE!</v>
      </c>
      <c r="AI56" s="439" t="e">
        <f ca="1"/>
        <v>#VALUE!</v>
      </c>
      <c r="AJ56" s="439" t="e">
        <f ca="1"/>
        <v>#VALUE!</v>
      </c>
      <c r="AK56" s="439" t="e">
        <f ca="1"/>
        <v>#VALUE!</v>
      </c>
      <c r="AL56" s="439" t="e">
        <f ca="1"/>
        <v>#VALUE!</v>
      </c>
      <c r="AM56" s="439" t="e">
        <f ca="1"/>
        <v>#VALUE!</v>
      </c>
      <c r="AN56" s="439" t="e">
        <f ca="1"/>
        <v>#VALUE!</v>
      </c>
      <c r="AO56" s="439" t="e">
        <f ca="1"/>
        <v>#VALUE!</v>
      </c>
      <c r="AP56" s="439" t="e">
        <f ca="1"/>
        <v>#VALUE!</v>
      </c>
      <c r="AQ56" s="439" t="e">
        <f ca="1"/>
        <v>#VALUE!</v>
      </c>
      <c r="AR56" s="439" t="e">
        <f ca="1"/>
        <v>#VALUE!</v>
      </c>
      <c r="AS56" s="439" t="e">
        <f ca="1"/>
        <v>#VALUE!</v>
      </c>
      <c r="AT56" s="439" t="e">
        <f ca="1"/>
        <v>#VALUE!</v>
      </c>
      <c r="AU56" s="439" t="e">
        <f ca="1"/>
        <v>#VALUE!</v>
      </c>
      <c r="AV56" s="439" t="e">
        <f ca="1"/>
        <v>#VALUE!</v>
      </c>
      <c r="AW56" s="439" t="e">
        <f ca="1"/>
        <v>#VALUE!</v>
      </c>
      <c r="AX56" s="439" t="e">
        <f ca="1"/>
        <v>#VALUE!</v>
      </c>
      <c r="AY56" s="439" t="e">
        <f ca="1"/>
        <v>#VALUE!</v>
      </c>
      <c r="AZ56" s="439" t="e">
        <f ca="1"/>
        <v>#VALUE!</v>
      </c>
      <c r="BA56" s="439" t="e">
        <f ca="1"/>
        <v>#VALUE!</v>
      </c>
      <c r="BB56" s="439" t="e">
        <f ca="1"/>
        <v>#VALUE!</v>
      </c>
      <c r="BC56" s="439" t="e">
        <f ca="1"/>
        <v>#VALUE!</v>
      </c>
      <c r="BD56" s="439" t="e">
        <f ca="1"/>
        <v>#VALUE!</v>
      </c>
      <c r="BE56" s="439" t="e">
        <f ca="1"/>
        <v>#VALUE!</v>
      </c>
      <c r="BF56" s="439" t="e">
        <f ca="1"/>
        <v>#VALUE!</v>
      </c>
      <c r="BG56" s="439" t="e">
        <f ca="1"/>
        <v>#VALUE!</v>
      </c>
      <c r="BH56" s="439" t="e">
        <f ca="1"/>
        <v>#VALUE!</v>
      </c>
      <c r="BI56" s="439" t="e">
        <f ca="1"/>
        <v>#VALUE!</v>
      </c>
      <c r="BJ56" s="439" t="e">
        <f ca="1"/>
        <v>#VALUE!</v>
      </c>
      <c r="BK56" s="439" t="e">
        <f ca="1"/>
        <v>#VALUE!</v>
      </c>
      <c r="BL56" s="439" t="e">
        <f ca="1"/>
        <v>#VALUE!</v>
      </c>
      <c r="BM56" s="439" t="e">
        <f ca="1"/>
        <v>#VALUE!</v>
      </c>
      <c r="BN56" s="439" t="e">
        <f ca="1"/>
        <v>#VALUE!</v>
      </c>
      <c r="BO56" s="439" t="e">
        <f ca="1"/>
        <v>#VALUE!</v>
      </c>
      <c r="BP56" s="439" t="e">
        <f ca="1"/>
        <v>#VALUE!</v>
      </c>
      <c r="BQ56" s="439" t="e">
        <f ca="1"/>
        <v>#VALUE!</v>
      </c>
      <c r="BR56" s="439" t="e">
        <f ca="1"/>
        <v>#VALUE!</v>
      </c>
      <c r="BS56" s="439" t="e">
        <f ca="1"/>
        <v>#VALUE!</v>
      </c>
      <c r="BT56" s="439" t="e">
        <f ca="1"/>
        <v>#VALUE!</v>
      </c>
      <c r="BU56" s="439" t="e">
        <f ca="1"/>
        <v>#VALUE!</v>
      </c>
      <c r="BV56" s="439" t="e">
        <f ca="1"/>
        <v>#VALUE!</v>
      </c>
      <c r="BW56" s="439" t="e">
        <f ca="1"/>
        <v>#VALUE!</v>
      </c>
      <c r="BX56" s="439" t="e">
        <f ca="1"/>
        <v>#VALUE!</v>
      </c>
    </row>
    <row r="57" spans="4:76">
      <c r="D57" s="439" t="e">
        <f ca="1"/>
        <v>#VALUE!</v>
      </c>
      <c r="E57" s="439" t="e">
        <f ca="1"/>
        <v>#VALUE!</v>
      </c>
      <c r="F57" s="439" t="e">
        <f ca="1"/>
        <v>#VALUE!</v>
      </c>
      <c r="G57" s="439" t="e">
        <f ca="1"/>
        <v>#VALUE!</v>
      </c>
      <c r="H57" s="439" t="e">
        <f ca="1"/>
        <v>#VALUE!</v>
      </c>
      <c r="I57" s="439" t="e">
        <f ca="1"/>
        <v>#VALUE!</v>
      </c>
      <c r="J57" s="439" t="e">
        <f ca="1"/>
        <v>#VALUE!</v>
      </c>
      <c r="K57" s="439" t="e">
        <f ca="1"/>
        <v>#VALUE!</v>
      </c>
      <c r="L57" s="439" t="e">
        <f ca="1"/>
        <v>#VALUE!</v>
      </c>
      <c r="M57" s="439" t="e">
        <f ca="1"/>
        <v>#VALUE!</v>
      </c>
      <c r="N57" s="439" t="e">
        <f ca="1"/>
        <v>#VALUE!</v>
      </c>
      <c r="O57" s="439" t="e">
        <f ca="1"/>
        <v>#VALUE!</v>
      </c>
      <c r="P57" s="439" t="e">
        <f ca="1"/>
        <v>#VALUE!</v>
      </c>
      <c r="Q57" s="439" t="e">
        <f ca="1"/>
        <v>#VALUE!</v>
      </c>
      <c r="R57" s="439" t="e">
        <f ca="1"/>
        <v>#VALUE!</v>
      </c>
      <c r="S57" s="439" t="e">
        <f ca="1"/>
        <v>#VALUE!</v>
      </c>
      <c r="T57" s="439" t="e">
        <f ca="1"/>
        <v>#VALUE!</v>
      </c>
      <c r="U57" s="439" t="e">
        <f ca="1"/>
        <v>#VALUE!</v>
      </c>
      <c r="V57" s="439" t="e">
        <f ca="1"/>
        <v>#VALUE!</v>
      </c>
      <c r="W57" s="439" t="e">
        <f ca="1"/>
        <v>#VALUE!</v>
      </c>
      <c r="X57" s="439" t="e">
        <f ca="1"/>
        <v>#VALUE!</v>
      </c>
      <c r="Y57" s="439" t="e">
        <f ca="1"/>
        <v>#VALUE!</v>
      </c>
      <c r="Z57" s="439" t="e">
        <f ca="1"/>
        <v>#VALUE!</v>
      </c>
      <c r="AA57" s="439" t="e">
        <f ca="1"/>
        <v>#VALUE!</v>
      </c>
      <c r="AB57" s="439" t="e">
        <f ca="1"/>
        <v>#VALUE!</v>
      </c>
      <c r="AC57" s="439" t="e">
        <f ca="1"/>
        <v>#VALUE!</v>
      </c>
      <c r="AD57" s="439" t="e">
        <f ca="1"/>
        <v>#VALUE!</v>
      </c>
      <c r="AE57" s="439" t="e">
        <f ca="1"/>
        <v>#VALUE!</v>
      </c>
      <c r="AF57" s="439" t="e">
        <f ca="1"/>
        <v>#VALUE!</v>
      </c>
      <c r="AG57" s="439" t="e">
        <f ca="1"/>
        <v>#VALUE!</v>
      </c>
      <c r="AH57" s="439" t="e">
        <f ca="1"/>
        <v>#VALUE!</v>
      </c>
      <c r="AI57" s="439" t="e">
        <f ca="1"/>
        <v>#VALUE!</v>
      </c>
      <c r="AJ57" s="439" t="e">
        <f ca="1"/>
        <v>#VALUE!</v>
      </c>
      <c r="AK57" s="439" t="e">
        <f ca="1"/>
        <v>#VALUE!</v>
      </c>
      <c r="AL57" s="439" t="e">
        <f ca="1"/>
        <v>#VALUE!</v>
      </c>
      <c r="AM57" s="439" t="e">
        <f ca="1"/>
        <v>#VALUE!</v>
      </c>
      <c r="AN57" s="439" t="e">
        <f ca="1"/>
        <v>#VALUE!</v>
      </c>
      <c r="AO57" s="439" t="e">
        <f ca="1"/>
        <v>#VALUE!</v>
      </c>
      <c r="AP57" s="439" t="e">
        <f ca="1"/>
        <v>#VALUE!</v>
      </c>
      <c r="AQ57" s="439" t="e">
        <f ca="1"/>
        <v>#VALUE!</v>
      </c>
      <c r="AR57" s="439" t="e">
        <f ca="1"/>
        <v>#VALUE!</v>
      </c>
      <c r="AS57" s="439" t="e">
        <f ca="1"/>
        <v>#VALUE!</v>
      </c>
      <c r="AT57" s="439" t="e">
        <f ca="1"/>
        <v>#VALUE!</v>
      </c>
      <c r="AU57" s="439" t="e">
        <f ca="1"/>
        <v>#VALUE!</v>
      </c>
      <c r="AV57" s="439" t="e">
        <f ca="1"/>
        <v>#VALUE!</v>
      </c>
      <c r="AW57" s="439" t="e">
        <f ca="1"/>
        <v>#VALUE!</v>
      </c>
      <c r="AX57" s="439" t="e">
        <f ca="1"/>
        <v>#VALUE!</v>
      </c>
      <c r="AY57" s="439" t="e">
        <f ca="1"/>
        <v>#VALUE!</v>
      </c>
      <c r="AZ57" s="439" t="e">
        <f ca="1"/>
        <v>#VALUE!</v>
      </c>
      <c r="BA57" s="439" t="e">
        <f ca="1"/>
        <v>#VALUE!</v>
      </c>
      <c r="BB57" s="439" t="e">
        <f ca="1"/>
        <v>#VALUE!</v>
      </c>
      <c r="BC57" s="439" t="e">
        <f ca="1"/>
        <v>#VALUE!</v>
      </c>
      <c r="BD57" s="439" t="e">
        <f ca="1"/>
        <v>#VALUE!</v>
      </c>
      <c r="BE57" s="439" t="e">
        <f ca="1"/>
        <v>#VALUE!</v>
      </c>
      <c r="BF57" s="439" t="e">
        <f ca="1"/>
        <v>#VALUE!</v>
      </c>
      <c r="BG57" s="439" t="e">
        <f ca="1"/>
        <v>#VALUE!</v>
      </c>
      <c r="BH57" s="439" t="e">
        <f ca="1"/>
        <v>#VALUE!</v>
      </c>
      <c r="BI57" s="439" t="e">
        <f ca="1"/>
        <v>#VALUE!</v>
      </c>
      <c r="BJ57" s="439" t="e">
        <f ca="1"/>
        <v>#VALUE!</v>
      </c>
      <c r="BK57" s="439" t="e">
        <f ca="1"/>
        <v>#VALUE!</v>
      </c>
      <c r="BL57" s="439" t="e">
        <f ca="1"/>
        <v>#VALUE!</v>
      </c>
      <c r="BM57" s="439" t="e">
        <f ca="1"/>
        <v>#VALUE!</v>
      </c>
      <c r="BN57" s="439" t="e">
        <f ca="1"/>
        <v>#VALUE!</v>
      </c>
      <c r="BO57" s="439" t="e">
        <f ca="1"/>
        <v>#VALUE!</v>
      </c>
      <c r="BP57" s="439" t="e">
        <f ca="1"/>
        <v>#VALUE!</v>
      </c>
      <c r="BQ57" s="439" t="e">
        <f ca="1"/>
        <v>#VALUE!</v>
      </c>
      <c r="BR57" s="439" t="e">
        <f ca="1"/>
        <v>#VALUE!</v>
      </c>
      <c r="BS57" s="439" t="e">
        <f ca="1"/>
        <v>#VALUE!</v>
      </c>
      <c r="BT57" s="439" t="e">
        <f ca="1"/>
        <v>#VALUE!</v>
      </c>
      <c r="BU57" s="439" t="e">
        <f ca="1"/>
        <v>#VALUE!</v>
      </c>
      <c r="BV57" s="439" t="e">
        <f ca="1"/>
        <v>#VALUE!</v>
      </c>
      <c r="BW57" s="439" t="e">
        <f ca="1"/>
        <v>#VALUE!</v>
      </c>
      <c r="BX57" s="439" t="e">
        <f ca="1"/>
        <v>#VALUE!</v>
      </c>
    </row>
    <row r="58" spans="4:76">
      <c r="D58" s="439" t="e">
        <f ca="1"/>
        <v>#VALUE!</v>
      </c>
      <c r="E58" s="439" t="e">
        <f ca="1"/>
        <v>#VALUE!</v>
      </c>
      <c r="F58" s="439" t="e">
        <f ca="1"/>
        <v>#VALUE!</v>
      </c>
      <c r="G58" s="439" t="e">
        <f ca="1"/>
        <v>#VALUE!</v>
      </c>
      <c r="H58" s="439" t="e">
        <f ca="1"/>
        <v>#VALUE!</v>
      </c>
      <c r="I58" s="439" t="e">
        <f ca="1"/>
        <v>#VALUE!</v>
      </c>
      <c r="J58" s="439" t="e">
        <f ca="1"/>
        <v>#VALUE!</v>
      </c>
      <c r="K58" s="439" t="e">
        <f ca="1"/>
        <v>#VALUE!</v>
      </c>
      <c r="L58" s="439" t="e">
        <f ca="1"/>
        <v>#VALUE!</v>
      </c>
      <c r="M58" s="439" t="e">
        <f ca="1"/>
        <v>#VALUE!</v>
      </c>
      <c r="N58" s="439" t="e">
        <f ca="1"/>
        <v>#VALUE!</v>
      </c>
      <c r="O58" s="439" t="e">
        <f ca="1"/>
        <v>#VALUE!</v>
      </c>
      <c r="P58" s="439" t="e">
        <f ca="1"/>
        <v>#VALUE!</v>
      </c>
      <c r="Q58" s="439" t="e">
        <f ca="1"/>
        <v>#VALUE!</v>
      </c>
      <c r="R58" s="439" t="e">
        <f ca="1"/>
        <v>#VALUE!</v>
      </c>
      <c r="S58" s="439" t="e">
        <f ca="1"/>
        <v>#VALUE!</v>
      </c>
      <c r="T58" s="439" t="e">
        <f ca="1"/>
        <v>#VALUE!</v>
      </c>
      <c r="U58" s="439" t="e">
        <f ca="1"/>
        <v>#VALUE!</v>
      </c>
      <c r="V58" s="439" t="e">
        <f ca="1"/>
        <v>#VALUE!</v>
      </c>
      <c r="W58" s="439" t="e">
        <f ca="1"/>
        <v>#VALUE!</v>
      </c>
      <c r="X58" s="439" t="e">
        <f ca="1"/>
        <v>#VALUE!</v>
      </c>
      <c r="Y58" s="439" t="e">
        <f ca="1"/>
        <v>#VALUE!</v>
      </c>
      <c r="Z58" s="439" t="e">
        <f ca="1"/>
        <v>#VALUE!</v>
      </c>
      <c r="AA58" s="439" t="e">
        <f ca="1"/>
        <v>#VALUE!</v>
      </c>
      <c r="AB58" s="439" t="e">
        <f ca="1"/>
        <v>#VALUE!</v>
      </c>
      <c r="AC58" s="439" t="e">
        <f ca="1"/>
        <v>#VALUE!</v>
      </c>
      <c r="AD58" s="439" t="e">
        <f ca="1"/>
        <v>#VALUE!</v>
      </c>
      <c r="AE58" s="439" t="e">
        <f ca="1"/>
        <v>#VALUE!</v>
      </c>
      <c r="AF58" s="439" t="e">
        <f ca="1"/>
        <v>#VALUE!</v>
      </c>
      <c r="AG58" s="439" t="e">
        <f ca="1"/>
        <v>#VALUE!</v>
      </c>
      <c r="AH58" s="439" t="e">
        <f ca="1"/>
        <v>#VALUE!</v>
      </c>
      <c r="AI58" s="439" t="e">
        <f ca="1"/>
        <v>#VALUE!</v>
      </c>
      <c r="AJ58" s="439" t="e">
        <f ca="1"/>
        <v>#VALUE!</v>
      </c>
      <c r="AK58" s="439" t="e">
        <f ca="1"/>
        <v>#VALUE!</v>
      </c>
      <c r="AL58" s="439" t="e">
        <f ca="1"/>
        <v>#VALUE!</v>
      </c>
      <c r="AM58" s="439" t="e">
        <f ca="1"/>
        <v>#VALUE!</v>
      </c>
      <c r="AN58" s="439" t="e">
        <f ca="1"/>
        <v>#VALUE!</v>
      </c>
      <c r="AO58" s="439" t="e">
        <f ca="1"/>
        <v>#VALUE!</v>
      </c>
      <c r="AP58" s="439" t="e">
        <f ca="1"/>
        <v>#VALUE!</v>
      </c>
      <c r="AQ58" s="439" t="e">
        <f ca="1"/>
        <v>#VALUE!</v>
      </c>
      <c r="AR58" s="439" t="e">
        <f ca="1"/>
        <v>#VALUE!</v>
      </c>
      <c r="AS58" s="439" t="e">
        <f ca="1"/>
        <v>#VALUE!</v>
      </c>
      <c r="AT58" s="439" t="e">
        <f ca="1"/>
        <v>#VALUE!</v>
      </c>
      <c r="AU58" s="439" t="e">
        <f ca="1"/>
        <v>#VALUE!</v>
      </c>
      <c r="AV58" s="439" t="e">
        <f ca="1"/>
        <v>#VALUE!</v>
      </c>
      <c r="AW58" s="439" t="e">
        <f ca="1"/>
        <v>#VALUE!</v>
      </c>
      <c r="AX58" s="439" t="e">
        <f ca="1"/>
        <v>#VALUE!</v>
      </c>
      <c r="AY58" s="439" t="e">
        <f ca="1"/>
        <v>#VALUE!</v>
      </c>
      <c r="AZ58" s="439" t="e">
        <f ca="1"/>
        <v>#VALUE!</v>
      </c>
      <c r="BA58" s="439" t="e">
        <f ca="1"/>
        <v>#VALUE!</v>
      </c>
      <c r="BB58" s="439" t="e">
        <f ca="1"/>
        <v>#VALUE!</v>
      </c>
      <c r="BC58" s="439" t="e">
        <f ca="1"/>
        <v>#VALUE!</v>
      </c>
      <c r="BD58" s="439" t="e">
        <f ca="1"/>
        <v>#VALUE!</v>
      </c>
      <c r="BE58" s="439" t="e">
        <f ca="1"/>
        <v>#VALUE!</v>
      </c>
      <c r="BF58" s="439" t="e">
        <f ca="1"/>
        <v>#VALUE!</v>
      </c>
      <c r="BG58" s="439" t="e">
        <f ca="1"/>
        <v>#VALUE!</v>
      </c>
      <c r="BH58" s="439" t="e">
        <f ca="1"/>
        <v>#VALUE!</v>
      </c>
      <c r="BI58" s="439" t="e">
        <f ca="1"/>
        <v>#VALUE!</v>
      </c>
      <c r="BJ58" s="439" t="e">
        <f ca="1"/>
        <v>#VALUE!</v>
      </c>
      <c r="BK58" s="439" t="e">
        <f ca="1"/>
        <v>#VALUE!</v>
      </c>
      <c r="BL58" s="439" t="e">
        <f ca="1"/>
        <v>#VALUE!</v>
      </c>
      <c r="BM58" s="439" t="e">
        <f ca="1"/>
        <v>#VALUE!</v>
      </c>
      <c r="BN58" s="439" t="e">
        <f ca="1"/>
        <v>#VALUE!</v>
      </c>
      <c r="BO58" s="439" t="e">
        <f ca="1"/>
        <v>#VALUE!</v>
      </c>
      <c r="BP58" s="439" t="e">
        <f ca="1"/>
        <v>#VALUE!</v>
      </c>
      <c r="BQ58" s="439" t="e">
        <f ca="1"/>
        <v>#VALUE!</v>
      </c>
      <c r="BR58" s="439" t="e">
        <f ca="1"/>
        <v>#VALUE!</v>
      </c>
      <c r="BS58" s="439" t="e">
        <f ca="1"/>
        <v>#VALUE!</v>
      </c>
      <c r="BT58" s="439" t="e">
        <f ca="1"/>
        <v>#VALUE!</v>
      </c>
      <c r="BU58" s="439" t="e">
        <f ca="1"/>
        <v>#VALUE!</v>
      </c>
      <c r="BV58" s="439" t="e">
        <f ca="1"/>
        <v>#VALUE!</v>
      </c>
      <c r="BW58" s="439" t="e">
        <f ca="1"/>
        <v>#VALUE!</v>
      </c>
      <c r="BX58" s="439" t="e">
        <f ca="1"/>
        <v>#VALUE!</v>
      </c>
    </row>
    <row r="59" spans="4:76">
      <c r="D59" s="439" t="e">
        <f ca="1"/>
        <v>#VALUE!</v>
      </c>
      <c r="E59" s="439" t="e">
        <f ca="1"/>
        <v>#VALUE!</v>
      </c>
      <c r="F59" s="439" t="e">
        <f ca="1"/>
        <v>#VALUE!</v>
      </c>
      <c r="G59" s="439" t="e">
        <f ca="1"/>
        <v>#VALUE!</v>
      </c>
      <c r="H59" s="439" t="e">
        <f ca="1"/>
        <v>#VALUE!</v>
      </c>
      <c r="I59" s="439" t="e">
        <f ca="1"/>
        <v>#VALUE!</v>
      </c>
      <c r="J59" s="439" t="e">
        <f ca="1"/>
        <v>#VALUE!</v>
      </c>
      <c r="K59" s="439" t="e">
        <f ca="1"/>
        <v>#VALUE!</v>
      </c>
      <c r="L59" s="439" t="e">
        <f ca="1"/>
        <v>#VALUE!</v>
      </c>
      <c r="M59" s="439" t="e">
        <f ca="1"/>
        <v>#VALUE!</v>
      </c>
      <c r="N59" s="439" t="e">
        <f ca="1"/>
        <v>#VALUE!</v>
      </c>
      <c r="O59" s="439" t="e">
        <f ca="1"/>
        <v>#VALUE!</v>
      </c>
      <c r="P59" s="439" t="e">
        <f ca="1"/>
        <v>#VALUE!</v>
      </c>
      <c r="Q59" s="439" t="e">
        <f ca="1"/>
        <v>#VALUE!</v>
      </c>
      <c r="R59" s="439" t="e">
        <f ca="1"/>
        <v>#VALUE!</v>
      </c>
      <c r="S59" s="439" t="e">
        <f ca="1"/>
        <v>#VALUE!</v>
      </c>
      <c r="T59" s="439" t="e">
        <f ca="1"/>
        <v>#VALUE!</v>
      </c>
      <c r="U59" s="439" t="e">
        <f ca="1"/>
        <v>#VALUE!</v>
      </c>
      <c r="V59" s="439" t="e">
        <f ca="1"/>
        <v>#VALUE!</v>
      </c>
      <c r="W59" s="439" t="e">
        <f ca="1"/>
        <v>#VALUE!</v>
      </c>
      <c r="X59" s="439" t="e">
        <f ca="1"/>
        <v>#VALUE!</v>
      </c>
      <c r="Y59" s="439" t="e">
        <f ca="1"/>
        <v>#VALUE!</v>
      </c>
      <c r="Z59" s="439" t="e">
        <f ca="1"/>
        <v>#VALUE!</v>
      </c>
      <c r="AA59" s="439" t="e">
        <f ca="1"/>
        <v>#VALUE!</v>
      </c>
      <c r="AB59" s="439" t="e">
        <f ca="1"/>
        <v>#VALUE!</v>
      </c>
      <c r="AC59" s="439" t="e">
        <f ca="1"/>
        <v>#VALUE!</v>
      </c>
      <c r="AD59" s="439" t="e">
        <f ca="1"/>
        <v>#VALUE!</v>
      </c>
      <c r="AE59" s="439" t="e">
        <f ca="1"/>
        <v>#VALUE!</v>
      </c>
      <c r="AF59" s="439" t="e">
        <f ca="1"/>
        <v>#VALUE!</v>
      </c>
      <c r="AG59" s="439" t="e">
        <f ca="1"/>
        <v>#VALUE!</v>
      </c>
      <c r="AH59" s="439" t="e">
        <f ca="1"/>
        <v>#VALUE!</v>
      </c>
      <c r="AI59" s="439" t="e">
        <f ca="1"/>
        <v>#VALUE!</v>
      </c>
      <c r="AJ59" s="439" t="e">
        <f ca="1"/>
        <v>#VALUE!</v>
      </c>
      <c r="AK59" s="439" t="e">
        <f ca="1"/>
        <v>#VALUE!</v>
      </c>
      <c r="AL59" s="439" t="e">
        <f ca="1"/>
        <v>#VALUE!</v>
      </c>
      <c r="AM59" s="439" t="e">
        <f ca="1"/>
        <v>#VALUE!</v>
      </c>
      <c r="AN59" s="439" t="e">
        <f ca="1"/>
        <v>#VALUE!</v>
      </c>
      <c r="AO59" s="439" t="e">
        <f ca="1"/>
        <v>#VALUE!</v>
      </c>
      <c r="AP59" s="439" t="e">
        <f ca="1"/>
        <v>#VALUE!</v>
      </c>
      <c r="AQ59" s="439" t="e">
        <f ca="1"/>
        <v>#VALUE!</v>
      </c>
      <c r="AR59" s="439" t="e">
        <f ca="1"/>
        <v>#VALUE!</v>
      </c>
      <c r="AS59" s="439" t="e">
        <f ca="1"/>
        <v>#VALUE!</v>
      </c>
      <c r="AT59" s="439" t="e">
        <f ca="1"/>
        <v>#VALUE!</v>
      </c>
      <c r="AU59" s="439" t="e">
        <f ca="1"/>
        <v>#VALUE!</v>
      </c>
      <c r="AV59" s="439" t="e">
        <f ca="1"/>
        <v>#VALUE!</v>
      </c>
      <c r="AW59" s="439" t="e">
        <f ca="1"/>
        <v>#VALUE!</v>
      </c>
      <c r="AX59" s="439" t="e">
        <f ca="1"/>
        <v>#VALUE!</v>
      </c>
      <c r="AY59" s="439" t="e">
        <f ca="1"/>
        <v>#VALUE!</v>
      </c>
      <c r="AZ59" s="439" t="e">
        <f ca="1"/>
        <v>#VALUE!</v>
      </c>
      <c r="BA59" s="439" t="e">
        <f ca="1"/>
        <v>#VALUE!</v>
      </c>
      <c r="BB59" s="439" t="e">
        <f ca="1"/>
        <v>#VALUE!</v>
      </c>
      <c r="BC59" s="439" t="e">
        <f ca="1"/>
        <v>#VALUE!</v>
      </c>
      <c r="BD59" s="439" t="e">
        <f ca="1"/>
        <v>#VALUE!</v>
      </c>
      <c r="BE59" s="439" t="e">
        <f ca="1"/>
        <v>#VALUE!</v>
      </c>
      <c r="BF59" s="439" t="e">
        <f ca="1"/>
        <v>#VALUE!</v>
      </c>
      <c r="BG59" s="439" t="e">
        <f ca="1"/>
        <v>#VALUE!</v>
      </c>
      <c r="BH59" s="439" t="e">
        <f ca="1"/>
        <v>#VALUE!</v>
      </c>
      <c r="BI59" s="439" t="e">
        <f ca="1"/>
        <v>#VALUE!</v>
      </c>
      <c r="BJ59" s="439" t="e">
        <f ca="1"/>
        <v>#VALUE!</v>
      </c>
      <c r="BK59" s="439" t="e">
        <f ca="1"/>
        <v>#VALUE!</v>
      </c>
      <c r="BL59" s="439" t="e">
        <f ca="1"/>
        <v>#VALUE!</v>
      </c>
      <c r="BM59" s="439" t="e">
        <f ca="1"/>
        <v>#VALUE!</v>
      </c>
      <c r="BN59" s="439" t="e">
        <f ca="1"/>
        <v>#VALUE!</v>
      </c>
      <c r="BO59" s="439" t="e">
        <f ca="1"/>
        <v>#VALUE!</v>
      </c>
      <c r="BP59" s="439" t="e">
        <f ca="1"/>
        <v>#VALUE!</v>
      </c>
      <c r="BQ59" s="439" t="e">
        <f ca="1"/>
        <v>#VALUE!</v>
      </c>
      <c r="BR59" s="439" t="e">
        <f ca="1"/>
        <v>#VALUE!</v>
      </c>
      <c r="BS59" s="439" t="e">
        <f ca="1"/>
        <v>#VALUE!</v>
      </c>
      <c r="BT59" s="439" t="e">
        <f ca="1"/>
        <v>#VALUE!</v>
      </c>
      <c r="BU59" s="439" t="e">
        <f ca="1"/>
        <v>#VALUE!</v>
      </c>
      <c r="BV59" s="439" t="e">
        <f ca="1"/>
        <v>#VALUE!</v>
      </c>
      <c r="BW59" s="439" t="e">
        <f ca="1"/>
        <v>#VALUE!</v>
      </c>
      <c r="BX59" s="439" t="e">
        <f ca="1"/>
        <v>#VALUE!</v>
      </c>
    </row>
    <row r="60" spans="4:76">
      <c r="D60" s="439" t="e">
        <f ca="1"/>
        <v>#VALUE!</v>
      </c>
      <c r="E60" s="439" t="e">
        <f ca="1"/>
        <v>#VALUE!</v>
      </c>
      <c r="F60" s="439" t="e">
        <f ca="1"/>
        <v>#VALUE!</v>
      </c>
      <c r="G60" s="439" t="e">
        <f ca="1"/>
        <v>#VALUE!</v>
      </c>
      <c r="H60" s="439" t="e">
        <f ca="1"/>
        <v>#VALUE!</v>
      </c>
      <c r="I60" s="439" t="e">
        <f ca="1"/>
        <v>#VALUE!</v>
      </c>
      <c r="J60" s="439" t="e">
        <f ca="1"/>
        <v>#VALUE!</v>
      </c>
      <c r="K60" s="439" t="e">
        <f ca="1"/>
        <v>#VALUE!</v>
      </c>
      <c r="L60" s="439" t="e">
        <f ca="1"/>
        <v>#VALUE!</v>
      </c>
      <c r="M60" s="439" t="e">
        <f ca="1"/>
        <v>#VALUE!</v>
      </c>
      <c r="N60" s="439" t="e">
        <f ca="1"/>
        <v>#VALUE!</v>
      </c>
      <c r="O60" s="439" t="e">
        <f ca="1"/>
        <v>#VALUE!</v>
      </c>
      <c r="P60" s="439" t="e">
        <f ca="1"/>
        <v>#VALUE!</v>
      </c>
      <c r="Q60" s="439" t="e">
        <f ca="1"/>
        <v>#VALUE!</v>
      </c>
      <c r="R60" s="439" t="e">
        <f ca="1"/>
        <v>#VALUE!</v>
      </c>
      <c r="S60" s="439" t="e">
        <f ca="1"/>
        <v>#VALUE!</v>
      </c>
      <c r="T60" s="439" t="e">
        <f ca="1"/>
        <v>#VALUE!</v>
      </c>
      <c r="U60" s="439" t="e">
        <f ca="1"/>
        <v>#VALUE!</v>
      </c>
      <c r="V60" s="439" t="e">
        <f ca="1"/>
        <v>#VALUE!</v>
      </c>
      <c r="W60" s="439" t="e">
        <f ca="1"/>
        <v>#VALUE!</v>
      </c>
      <c r="X60" s="439" t="e">
        <f ca="1"/>
        <v>#VALUE!</v>
      </c>
      <c r="Y60" s="439" t="e">
        <f ca="1"/>
        <v>#VALUE!</v>
      </c>
      <c r="Z60" s="439" t="e">
        <f ca="1"/>
        <v>#VALUE!</v>
      </c>
      <c r="AA60" s="439" t="e">
        <f ca="1"/>
        <v>#VALUE!</v>
      </c>
      <c r="AB60" s="439" t="e">
        <f ca="1"/>
        <v>#VALUE!</v>
      </c>
      <c r="AC60" s="439" t="e">
        <f ca="1"/>
        <v>#VALUE!</v>
      </c>
      <c r="AD60" s="439" t="e">
        <f ca="1"/>
        <v>#VALUE!</v>
      </c>
      <c r="AE60" s="439" t="e">
        <f ca="1"/>
        <v>#VALUE!</v>
      </c>
      <c r="AF60" s="439" t="e">
        <f ca="1"/>
        <v>#VALUE!</v>
      </c>
      <c r="AG60" s="439" t="e">
        <f ca="1"/>
        <v>#VALUE!</v>
      </c>
      <c r="AH60" s="439" t="e">
        <f ca="1"/>
        <v>#VALUE!</v>
      </c>
      <c r="AI60" s="439" t="e">
        <f ca="1"/>
        <v>#VALUE!</v>
      </c>
      <c r="AJ60" s="439" t="e">
        <f ca="1"/>
        <v>#VALUE!</v>
      </c>
      <c r="AK60" s="439" t="e">
        <f ca="1"/>
        <v>#VALUE!</v>
      </c>
      <c r="AL60" s="439" t="e">
        <f ca="1"/>
        <v>#VALUE!</v>
      </c>
      <c r="AM60" s="439" t="e">
        <f ca="1"/>
        <v>#VALUE!</v>
      </c>
      <c r="AN60" s="439" t="e">
        <f ca="1"/>
        <v>#VALUE!</v>
      </c>
      <c r="AO60" s="439" t="e">
        <f ca="1"/>
        <v>#VALUE!</v>
      </c>
      <c r="AP60" s="439" t="e">
        <f ca="1"/>
        <v>#VALUE!</v>
      </c>
      <c r="AQ60" s="439" t="e">
        <f ca="1"/>
        <v>#VALUE!</v>
      </c>
      <c r="AR60" s="439" t="e">
        <f ca="1"/>
        <v>#VALUE!</v>
      </c>
      <c r="AS60" s="439" t="e">
        <f ca="1"/>
        <v>#VALUE!</v>
      </c>
      <c r="AT60" s="439" t="e">
        <f ca="1"/>
        <v>#VALUE!</v>
      </c>
      <c r="AU60" s="439" t="e">
        <f ca="1"/>
        <v>#VALUE!</v>
      </c>
      <c r="AV60" s="439" t="e">
        <f ca="1"/>
        <v>#VALUE!</v>
      </c>
      <c r="AW60" s="439" t="e">
        <f ca="1"/>
        <v>#VALUE!</v>
      </c>
      <c r="AX60" s="439" t="e">
        <f ca="1"/>
        <v>#VALUE!</v>
      </c>
      <c r="AY60" s="439" t="e">
        <f ca="1"/>
        <v>#VALUE!</v>
      </c>
      <c r="AZ60" s="439" t="e">
        <f ca="1"/>
        <v>#VALUE!</v>
      </c>
      <c r="BA60" s="439" t="e">
        <f ca="1"/>
        <v>#VALUE!</v>
      </c>
      <c r="BB60" s="439" t="e">
        <f ca="1"/>
        <v>#VALUE!</v>
      </c>
      <c r="BC60" s="439" t="e">
        <f ca="1"/>
        <v>#VALUE!</v>
      </c>
      <c r="BD60" s="439" t="e">
        <f ca="1"/>
        <v>#VALUE!</v>
      </c>
      <c r="BE60" s="439" t="e">
        <f ca="1"/>
        <v>#VALUE!</v>
      </c>
      <c r="BF60" s="439" t="e">
        <f ca="1"/>
        <v>#VALUE!</v>
      </c>
      <c r="BG60" s="439" t="e">
        <f ca="1"/>
        <v>#VALUE!</v>
      </c>
      <c r="BH60" s="439" t="e">
        <f ca="1"/>
        <v>#VALUE!</v>
      </c>
      <c r="BI60" s="439" t="e">
        <f ca="1"/>
        <v>#VALUE!</v>
      </c>
      <c r="BJ60" s="439" t="e">
        <f ca="1"/>
        <v>#VALUE!</v>
      </c>
      <c r="BK60" s="439" t="e">
        <f ca="1"/>
        <v>#VALUE!</v>
      </c>
      <c r="BL60" s="439" t="e">
        <f ca="1"/>
        <v>#VALUE!</v>
      </c>
      <c r="BM60" s="439" t="e">
        <f ca="1"/>
        <v>#VALUE!</v>
      </c>
      <c r="BN60" s="439" t="e">
        <f ca="1"/>
        <v>#VALUE!</v>
      </c>
      <c r="BO60" s="439" t="e">
        <f ca="1"/>
        <v>#VALUE!</v>
      </c>
      <c r="BP60" s="439" t="e">
        <f ca="1"/>
        <v>#VALUE!</v>
      </c>
      <c r="BQ60" s="439" t="e">
        <f ca="1"/>
        <v>#VALUE!</v>
      </c>
      <c r="BR60" s="439" t="e">
        <f ca="1"/>
        <v>#VALUE!</v>
      </c>
      <c r="BS60" s="439" t="e">
        <f ca="1"/>
        <v>#VALUE!</v>
      </c>
      <c r="BT60" s="439" t="e">
        <f ca="1"/>
        <v>#VALUE!</v>
      </c>
      <c r="BU60" s="439" t="e">
        <f ca="1"/>
        <v>#VALUE!</v>
      </c>
      <c r="BV60" s="439" t="e">
        <f ca="1"/>
        <v>#VALUE!</v>
      </c>
      <c r="BW60" s="439" t="e">
        <f ca="1"/>
        <v>#VALUE!</v>
      </c>
      <c r="BX60" s="439" t="e">
        <f ca="1"/>
        <v>#VALUE!</v>
      </c>
    </row>
  </sheetData>
  <conditionalFormatting sqref="E7">
    <cfRule type="cellIs" dxfId="531" priority="16" stopIfTrue="1" operator="equal">
      <formula>"ERROR"</formula>
    </cfRule>
    <cfRule type="cellIs" dxfId="530" priority="17" stopIfTrue="1" operator="equal">
      <formula>"OK"</formula>
    </cfRule>
    <cfRule type="cellIs" dxfId="529" priority="18" stopIfTrue="1" operator="equal">
      <formula>"WARNING"</formula>
    </cfRule>
  </conditionalFormatting>
  <conditionalFormatting sqref="C4">
    <cfRule type="cellIs" dxfId="528" priority="13" stopIfTrue="1" operator="equal">
      <formula>"ERROR"</formula>
    </cfRule>
    <cfRule type="cellIs" dxfId="527" priority="14" stopIfTrue="1" operator="equal">
      <formula>"OK"</formula>
    </cfRule>
    <cfRule type="cellIs" dxfId="526" priority="15" stopIfTrue="1" operator="equal">
      <formula>"WARNING"</formula>
    </cfRule>
  </conditionalFormatting>
  <conditionalFormatting sqref="C12">
    <cfRule type="cellIs" dxfId="525" priority="10" stopIfTrue="1" operator="equal">
      <formula>"ERROR"</formula>
    </cfRule>
  </conditionalFormatting>
  <conditionalFormatting sqref="C12">
    <cfRule type="cellIs" dxfId="524" priority="11" stopIfTrue="1" operator="equal">
      <formula>"OK"</formula>
    </cfRule>
  </conditionalFormatting>
  <conditionalFormatting sqref="C12">
    <cfRule type="cellIs" dxfId="523" priority="12" stopIfTrue="1" operator="equal">
      <formula>"WARNING"</formula>
    </cfRule>
  </conditionalFormatting>
  <conditionalFormatting sqref="I17:J17 T17">
    <cfRule type="cellIs" dxfId="522" priority="19" stopIfTrue="1" operator="equal">
      <formula>"ERROR"</formula>
    </cfRule>
    <cfRule type="cellIs" dxfId="521" priority="20" stopIfTrue="1" operator="equal">
      <formula>"OK"</formula>
    </cfRule>
    <cfRule type="cellIs" dxfId="520" priority="21" stopIfTrue="1" operator="equal">
      <formula>"WARNING"</formula>
    </cfRule>
  </conditionalFormatting>
  <conditionalFormatting sqref="AB17">
    <cfRule type="cellIs" dxfId="519" priority="7" stopIfTrue="1" operator="equal">
      <formula>"ERROR"</formula>
    </cfRule>
    <cfRule type="cellIs" dxfId="518" priority="8" stopIfTrue="1" operator="equal">
      <formula>"OK"</formula>
    </cfRule>
    <cfRule type="cellIs" dxfId="517" priority="9" stopIfTrue="1" operator="equal">
      <formula>"WARNING"</formula>
    </cfRule>
  </conditionalFormatting>
  <conditionalFormatting sqref="AK17">
    <cfRule type="cellIs" dxfId="516" priority="4" stopIfTrue="1" operator="equal">
      <formula>"ERROR"</formula>
    </cfRule>
    <cfRule type="cellIs" dxfId="515" priority="5" stopIfTrue="1" operator="equal">
      <formula>"OK"</formula>
    </cfRule>
    <cfRule type="cellIs" dxfId="514" priority="6" stopIfTrue="1" operator="equal">
      <formula>"WARNING"</formula>
    </cfRule>
  </conditionalFormatting>
  <conditionalFormatting sqref="R17:S21">
    <cfRule type="cellIs" dxfId="513" priority="1" stopIfTrue="1" operator="equal">
      <formula>"ERROR"</formula>
    </cfRule>
    <cfRule type="cellIs" dxfId="512" priority="2" stopIfTrue="1" operator="equal">
      <formula>"OK"</formula>
    </cfRule>
    <cfRule type="cellIs" dxfId="511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47" zoomScale="145" zoomScaleNormal="145" workbookViewId="0">
      <selection activeCell="D52" sqref="D52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389</v>
      </c>
    </row>
    <row r="2" spans="1:74" ht="26.25">
      <c r="B2" s="2" t="s">
        <v>676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aca="1" ref="C4" ca="1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 ca="1"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aca="1" ref="C12" ca="1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686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690</v>
      </c>
      <c r="C16" s="208" t="str" cm="1">
        <f t="array" aca="1" ref="C16" ca="1">_xll.d.Curve_Create("CCSZarSwapCurve",B19:C22,C26:C49,D26:D49)</f>
        <v>@@CCSZarSwapCurve::09:20:33</v>
      </c>
      <c r="D16" s="209"/>
      <c r="F16" s="56" t="s">
        <v>690</v>
      </c>
      <c r="G16" s="208" t="str" cm="1">
        <f t="array" aca="1" ref="G16" ca="1">_xll.d.Curve_Create("CCSUsdZarBasisCurve",F19:G22,G26:G49,H26:H49)</f>
        <v>@@CCSUsdZarBasisCurve::09:19:54</v>
      </c>
      <c r="H16" s="209"/>
      <c r="J16" s="56" t="s">
        <v>690</v>
      </c>
      <c r="K16" s="208" t="str" cm="1">
        <f t="array" aca="1" ref="K16" ca="1">_xll.d.Curve_Create("CCSUsdSwapCurve",J19:K22,K26:K51,L26:L51)</f>
        <v>@@CCSUsdSwapCurve::09:19:56</v>
      </c>
      <c r="L16" s="209"/>
    </row>
    <row r="17" spans="2:14">
      <c r="D17" s="613"/>
    </row>
    <row r="18" spans="2:14">
      <c r="B18" s="12" t="s">
        <v>682</v>
      </c>
      <c r="C18" s="137"/>
      <c r="F18" s="12" t="s">
        <v>685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96" t="s">
        <v>58</v>
      </c>
      <c r="C20" s="897" t="s">
        <v>55</v>
      </c>
      <c r="F20" s="896" t="s">
        <v>58</v>
      </c>
      <c r="G20" s="897" t="s">
        <v>55</v>
      </c>
      <c r="J20" s="921" t="s">
        <v>58</v>
      </c>
      <c r="K20" s="922" t="s">
        <v>326</v>
      </c>
    </row>
    <row r="21" spans="2:14">
      <c r="B21" s="898" t="s">
        <v>56</v>
      </c>
      <c r="C21" s="899" t="s">
        <v>57</v>
      </c>
      <c r="F21" s="898" t="s">
        <v>56</v>
      </c>
      <c r="G21" s="899" t="s">
        <v>57</v>
      </c>
      <c r="J21" s="923" t="s">
        <v>56</v>
      </c>
      <c r="K21" s="924" t="s">
        <v>258</v>
      </c>
    </row>
    <row r="22" spans="2:14">
      <c r="B22" s="900" t="s">
        <v>43</v>
      </c>
      <c r="C22" s="901" t="s">
        <v>681</v>
      </c>
      <c r="F22" s="900" t="s">
        <v>43</v>
      </c>
      <c r="G22" s="926" t="s">
        <v>681</v>
      </c>
      <c r="J22" s="925" t="s">
        <v>43</v>
      </c>
      <c r="K22" s="932" t="s">
        <v>681</v>
      </c>
    </row>
    <row r="24" spans="2:14">
      <c r="B24" s="121" t="s">
        <v>680</v>
      </c>
      <c r="C24" s="192"/>
      <c r="D24" s="122"/>
      <c r="F24" s="121" t="s">
        <v>683</v>
      </c>
      <c r="G24" s="192"/>
      <c r="H24" s="122"/>
      <c r="J24" s="121" t="s">
        <v>706</v>
      </c>
      <c r="K24" s="192"/>
      <c r="L24" s="122"/>
    </row>
    <row r="25" spans="2:14">
      <c r="B25" s="906" t="s">
        <v>22</v>
      </c>
      <c r="C25" s="907" t="s">
        <v>0</v>
      </c>
      <c r="D25" s="908" t="s">
        <v>2</v>
      </c>
      <c r="F25" s="906" t="s">
        <v>22</v>
      </c>
      <c r="G25" s="907" t="s">
        <v>0</v>
      </c>
      <c r="H25" s="908" t="s">
        <v>2</v>
      </c>
      <c r="J25" s="906" t="s">
        <v>22</v>
      </c>
      <c r="K25" s="907" t="s">
        <v>0</v>
      </c>
      <c r="L25" s="908" t="s">
        <v>2</v>
      </c>
    </row>
    <row r="26" spans="2:14">
      <c r="B26" s="903" t="s">
        <v>684</v>
      </c>
      <c r="C26" s="893">
        <v>45016</v>
      </c>
      <c r="D26" s="464">
        <v>1</v>
      </c>
      <c r="F26" s="903" t="s">
        <v>684</v>
      </c>
      <c r="G26" s="902">
        <v>45016</v>
      </c>
      <c r="H26" s="927">
        <v>1</v>
      </c>
      <c r="J26" s="903" t="s">
        <v>684</v>
      </c>
      <c r="K26" s="894">
        <v>45016</v>
      </c>
      <c r="L26" s="928">
        <v>1</v>
      </c>
    </row>
    <row r="27" spans="2:14">
      <c r="B27" s="125" t="s">
        <v>620</v>
      </c>
      <c r="C27" s="894">
        <v>45019</v>
      </c>
      <c r="D27" s="465">
        <v>0.99941924199999999</v>
      </c>
      <c r="F27" s="903" t="s">
        <v>620</v>
      </c>
      <c r="G27" s="894">
        <v>45019</v>
      </c>
      <c r="H27" s="928">
        <v>0.99941919999999995</v>
      </c>
      <c r="J27" s="903" t="s">
        <v>620</v>
      </c>
      <c r="K27" s="894">
        <v>45019</v>
      </c>
      <c r="L27" s="928">
        <v>0.99959474800000003</v>
      </c>
    </row>
    <row r="28" spans="2:14">
      <c r="B28" s="125" t="s">
        <v>678</v>
      </c>
      <c r="C28" s="894">
        <v>45020</v>
      </c>
      <c r="D28" s="465">
        <v>0.99922414500000001</v>
      </c>
      <c r="F28" s="903" t="s">
        <v>678</v>
      </c>
      <c r="G28" s="894">
        <v>45020</v>
      </c>
      <c r="H28" s="928">
        <v>0.99922449999999996</v>
      </c>
      <c r="J28" s="903" t="s">
        <v>678</v>
      </c>
      <c r="K28" s="894">
        <v>45020</v>
      </c>
      <c r="L28" s="928">
        <v>0.99945968200000002</v>
      </c>
    </row>
    <row r="29" spans="2:14">
      <c r="B29" s="125" t="s">
        <v>679</v>
      </c>
      <c r="C29" s="894">
        <v>45027</v>
      </c>
      <c r="D29" s="465">
        <v>0.997834322</v>
      </c>
      <c r="F29" s="903" t="s">
        <v>679</v>
      </c>
      <c r="G29" s="894">
        <v>45027</v>
      </c>
      <c r="H29" s="928">
        <v>0.99784050000000002</v>
      </c>
      <c r="J29" s="903" t="s">
        <v>679</v>
      </c>
      <c r="K29" s="894">
        <v>45027</v>
      </c>
      <c r="L29" s="928">
        <v>0.99848547700000001</v>
      </c>
    </row>
    <row r="30" spans="2:14">
      <c r="B30" s="125" t="s">
        <v>628</v>
      </c>
      <c r="C30" s="894">
        <v>45044</v>
      </c>
      <c r="D30" s="465">
        <v>0.99436822499999999</v>
      </c>
      <c r="F30" s="903" t="s">
        <v>628</v>
      </c>
      <c r="G30" s="894">
        <v>45044</v>
      </c>
      <c r="H30" s="928">
        <v>0.99434610000000001</v>
      </c>
      <c r="J30" s="903" t="s">
        <v>628</v>
      </c>
      <c r="K30" s="894">
        <v>45050</v>
      </c>
      <c r="L30" s="928">
        <v>0.99523663699999998</v>
      </c>
    </row>
    <row r="31" spans="2:14">
      <c r="B31" s="125" t="s">
        <v>631</v>
      </c>
      <c r="C31" s="894">
        <v>45077</v>
      </c>
      <c r="D31" s="465">
        <v>0.98768435499999996</v>
      </c>
      <c r="F31" s="903" t="s">
        <v>631</v>
      </c>
      <c r="G31" s="894">
        <v>45077</v>
      </c>
      <c r="H31" s="928">
        <v>0.98719480000000004</v>
      </c>
      <c r="J31" s="903" t="s">
        <v>631</v>
      </c>
      <c r="K31" s="894">
        <v>45082</v>
      </c>
      <c r="L31" s="928">
        <v>0.99065656000000002</v>
      </c>
      <c r="N31" s="939"/>
    </row>
    <row r="32" spans="2:14">
      <c r="B32" s="125" t="s">
        <v>632</v>
      </c>
      <c r="C32" s="894">
        <v>45107</v>
      </c>
      <c r="D32" s="465">
        <v>0.98146443900000002</v>
      </c>
      <c r="F32" s="903" t="s">
        <v>632</v>
      </c>
      <c r="G32" s="894">
        <v>45107</v>
      </c>
      <c r="H32" s="928">
        <v>0.98054549999999996</v>
      </c>
      <c r="J32" s="903" t="s">
        <v>632</v>
      </c>
      <c r="K32" s="894">
        <v>45112</v>
      </c>
      <c r="L32" s="928">
        <v>0.98638947300000002</v>
      </c>
    </row>
    <row r="33" spans="2:13">
      <c r="B33" s="125" t="s">
        <v>633</v>
      </c>
      <c r="C33" s="894">
        <v>45198</v>
      </c>
      <c r="D33" s="465">
        <v>0.96091179299999996</v>
      </c>
      <c r="F33" s="903" t="s">
        <v>633</v>
      </c>
      <c r="G33" s="894">
        <v>45198</v>
      </c>
      <c r="H33" s="928">
        <v>0.96094789999999997</v>
      </c>
      <c r="J33" s="903" t="s">
        <v>633</v>
      </c>
      <c r="K33" s="894">
        <v>45203</v>
      </c>
      <c r="L33" s="928">
        <v>0.97355813899999999</v>
      </c>
    </row>
    <row r="34" spans="2:13">
      <c r="B34" s="125" t="s">
        <v>675</v>
      </c>
      <c r="C34" s="894">
        <v>45289</v>
      </c>
      <c r="D34" s="465">
        <v>0.94072104300000003</v>
      </c>
      <c r="F34" s="903" t="s">
        <v>675</v>
      </c>
      <c r="G34" s="894">
        <v>45289</v>
      </c>
      <c r="H34" s="928">
        <v>0.94165010000000005</v>
      </c>
      <c r="J34" s="903" t="s">
        <v>675</v>
      </c>
      <c r="K34" s="894">
        <v>45295</v>
      </c>
      <c r="L34" s="928">
        <v>0.96170955700000005</v>
      </c>
    </row>
    <row r="35" spans="2:13">
      <c r="B35" s="125" t="s">
        <v>634</v>
      </c>
      <c r="C35" s="894">
        <v>45379</v>
      </c>
      <c r="D35" s="465">
        <v>0.92057749200000005</v>
      </c>
      <c r="F35" s="903" t="s">
        <v>634</v>
      </c>
      <c r="G35" s="894">
        <v>45379</v>
      </c>
      <c r="H35" s="928">
        <v>0.9232669</v>
      </c>
      <c r="J35" s="903" t="s">
        <v>634</v>
      </c>
      <c r="K35" s="894">
        <v>45386</v>
      </c>
      <c r="L35" s="928">
        <v>0.95118707199999997</v>
      </c>
    </row>
    <row r="36" spans="2:13">
      <c r="B36" s="125" t="s">
        <v>637</v>
      </c>
      <c r="C36" s="894">
        <v>45747</v>
      </c>
      <c r="D36" s="465">
        <v>0.85585145699999998</v>
      </c>
      <c r="F36" s="903" t="s">
        <v>637</v>
      </c>
      <c r="G36" s="894">
        <v>45747</v>
      </c>
      <c r="H36" s="928">
        <v>0.85543950000000002</v>
      </c>
      <c r="J36" s="903" t="s">
        <v>637</v>
      </c>
      <c r="K36" s="894">
        <v>45751</v>
      </c>
      <c r="L36" s="928">
        <v>0.91719768300000004</v>
      </c>
    </row>
    <row r="37" spans="2:13">
      <c r="B37" s="125" t="s">
        <v>655</v>
      </c>
      <c r="C37" s="894">
        <v>46112</v>
      </c>
      <c r="D37" s="465">
        <v>0.79235356700000004</v>
      </c>
      <c r="F37" s="903" t="s">
        <v>655</v>
      </c>
      <c r="G37" s="894">
        <v>46112</v>
      </c>
      <c r="H37" s="928">
        <v>0.79222870000000001</v>
      </c>
      <c r="J37" s="903" t="s">
        <v>655</v>
      </c>
      <c r="K37" s="894">
        <v>46118</v>
      </c>
      <c r="L37" s="928">
        <v>0.888698879</v>
      </c>
    </row>
    <row r="38" spans="2:13">
      <c r="B38" s="125" t="s">
        <v>656</v>
      </c>
      <c r="C38" s="894">
        <v>46477</v>
      </c>
      <c r="D38" s="465">
        <v>0.72987643800000002</v>
      </c>
      <c r="F38" s="903" t="s">
        <v>656</v>
      </c>
      <c r="G38" s="894">
        <v>46477</v>
      </c>
      <c r="H38" s="928">
        <v>0.72975020000000002</v>
      </c>
      <c r="J38" s="903" t="s">
        <v>656</v>
      </c>
      <c r="K38" s="894">
        <v>46482</v>
      </c>
      <c r="L38" s="928">
        <v>0.86212352000000003</v>
      </c>
    </row>
    <row r="39" spans="2:13">
      <c r="B39" s="125" t="s">
        <v>657</v>
      </c>
      <c r="C39" s="894">
        <v>46843</v>
      </c>
      <c r="D39" s="465">
        <v>0.66780551399999999</v>
      </c>
      <c r="F39" s="903" t="s">
        <v>657</v>
      </c>
      <c r="G39" s="894">
        <v>46843</v>
      </c>
      <c r="H39" s="928">
        <v>0.66768899999999998</v>
      </c>
      <c r="J39" s="903" t="s">
        <v>657</v>
      </c>
      <c r="K39" s="894">
        <v>46847</v>
      </c>
      <c r="L39" s="928">
        <v>0.83607659400000001</v>
      </c>
    </row>
    <row r="40" spans="2:13">
      <c r="B40" s="125" t="s">
        <v>658</v>
      </c>
      <c r="C40" s="894">
        <v>47206</v>
      </c>
      <c r="D40" s="465">
        <v>0.60568792999999999</v>
      </c>
      <c r="F40" s="903" t="s">
        <v>658</v>
      </c>
      <c r="G40" s="894">
        <v>47206</v>
      </c>
      <c r="H40" s="928">
        <v>0.60557669999999997</v>
      </c>
      <c r="J40" s="903" t="s">
        <v>658</v>
      </c>
      <c r="K40" s="894">
        <v>47212</v>
      </c>
      <c r="L40" s="928">
        <v>0.81026768800000004</v>
      </c>
    </row>
    <row r="41" spans="2:13">
      <c r="B41" s="125" t="s">
        <v>659</v>
      </c>
      <c r="C41" s="894">
        <v>47571</v>
      </c>
      <c r="D41" s="465">
        <v>0.54612932300000006</v>
      </c>
      <c r="F41" s="903" t="s">
        <v>659</v>
      </c>
      <c r="G41" s="894">
        <v>47571</v>
      </c>
      <c r="H41" s="928">
        <v>0.54602439999999997</v>
      </c>
      <c r="J41" s="903" t="s">
        <v>659</v>
      </c>
      <c r="K41" s="894">
        <v>47577</v>
      </c>
      <c r="L41" s="928">
        <v>0.78501168799999999</v>
      </c>
    </row>
    <row r="42" spans="2:13">
      <c r="B42" s="125" t="s">
        <v>660</v>
      </c>
      <c r="C42" s="894">
        <v>47938</v>
      </c>
      <c r="D42" s="465">
        <v>0.49058402699999998</v>
      </c>
      <c r="F42" s="903" t="s">
        <v>660</v>
      </c>
      <c r="G42" s="894">
        <v>47938</v>
      </c>
      <c r="H42" s="928">
        <v>0.49048560000000002</v>
      </c>
      <c r="J42" s="903" t="s">
        <v>660</v>
      </c>
      <c r="K42" s="894">
        <v>47942</v>
      </c>
      <c r="L42" s="928">
        <v>0.76021046599999997</v>
      </c>
    </row>
    <row r="43" spans="2:13">
      <c r="B43" s="125" t="s">
        <v>661</v>
      </c>
      <c r="C43" s="894">
        <v>48304</v>
      </c>
      <c r="D43" s="465">
        <v>0.439981173</v>
      </c>
      <c r="F43" s="903" t="s">
        <v>661</v>
      </c>
      <c r="G43" s="894">
        <v>48304</v>
      </c>
      <c r="H43" s="928">
        <v>0.43988929999999998</v>
      </c>
      <c r="J43" s="903" t="s">
        <v>661</v>
      </c>
      <c r="K43" s="894">
        <v>48309</v>
      </c>
      <c r="L43" s="928">
        <v>0.73522727300000001</v>
      </c>
    </row>
    <row r="44" spans="2:13">
      <c r="B44" s="125" t="s">
        <v>662</v>
      </c>
      <c r="C44" s="894">
        <v>48669</v>
      </c>
      <c r="D44" s="465">
        <v>0.39577822400000001</v>
      </c>
      <c r="F44" s="933" t="s">
        <v>662</v>
      </c>
      <c r="G44" s="934">
        <v>48669</v>
      </c>
      <c r="H44" s="935">
        <v>0.39569320000000002</v>
      </c>
      <c r="J44" s="903" t="s">
        <v>662</v>
      </c>
      <c r="K44" s="894">
        <v>48673</v>
      </c>
      <c r="L44" s="928">
        <v>0.71099246900000002</v>
      </c>
      <c r="M44" s="439">
        <f ca="1">1/L56</f>
        <v>5.6202824753972098E-2</v>
      </c>
    </row>
    <row r="45" spans="2:13">
      <c r="B45" s="125" t="s">
        <v>663</v>
      </c>
      <c r="C45" s="894">
        <v>49398</v>
      </c>
      <c r="D45" s="465">
        <v>0.31771698599999998</v>
      </c>
      <c r="F45" s="903" t="s">
        <v>663</v>
      </c>
      <c r="G45" s="894">
        <v>49398</v>
      </c>
      <c r="H45" s="928">
        <v>0.3176445</v>
      </c>
      <c r="J45" s="903" t="s">
        <v>663</v>
      </c>
      <c r="K45" s="894">
        <v>49403</v>
      </c>
      <c r="L45" s="928">
        <v>0.663886482</v>
      </c>
    </row>
    <row r="46" spans="2:13">
      <c r="B46" s="125" t="s">
        <v>664</v>
      </c>
      <c r="C46" s="894">
        <v>50495</v>
      </c>
      <c r="D46" s="465">
        <v>0.23207609700000001</v>
      </c>
      <c r="F46" s="933" t="s">
        <v>664</v>
      </c>
      <c r="G46" s="934">
        <v>50495</v>
      </c>
      <c r="H46" s="935">
        <v>0.23202039999999999</v>
      </c>
      <c r="J46" s="903" t="s">
        <v>664</v>
      </c>
      <c r="K46" s="894">
        <v>50500</v>
      </c>
      <c r="L46" s="928">
        <v>0.59854510000000005</v>
      </c>
    </row>
    <row r="47" spans="2:13">
      <c r="B47" s="125" t="s">
        <v>665</v>
      </c>
      <c r="C47" s="894">
        <v>52321</v>
      </c>
      <c r="D47" s="465">
        <v>0.14914686399999999</v>
      </c>
      <c r="F47" s="903" t="s">
        <v>665</v>
      </c>
      <c r="G47" s="894">
        <v>52321</v>
      </c>
      <c r="H47" s="928">
        <v>0.14911199999999999</v>
      </c>
      <c r="J47" s="903" t="s">
        <v>665</v>
      </c>
      <c r="K47" s="894">
        <v>52327</v>
      </c>
      <c r="L47" s="928">
        <v>0.50990804499999998</v>
      </c>
    </row>
    <row r="48" spans="2:13">
      <c r="B48" s="125" t="s">
        <v>666</v>
      </c>
      <c r="C48" s="894">
        <v>54148</v>
      </c>
      <c r="D48" s="465">
        <v>0.104645248</v>
      </c>
      <c r="F48" s="903" t="s">
        <v>666</v>
      </c>
      <c r="G48" s="894">
        <v>54148</v>
      </c>
      <c r="H48" s="928">
        <v>0.10462349999999999</v>
      </c>
      <c r="J48" s="903" t="s">
        <v>666</v>
      </c>
      <c r="K48" s="894">
        <v>54154</v>
      </c>
      <c r="L48" s="928">
        <v>0.44646429199999998</v>
      </c>
    </row>
    <row r="49" spans="2:23">
      <c r="B49" s="127" t="s">
        <v>667</v>
      </c>
      <c r="C49" s="895">
        <v>55974</v>
      </c>
      <c r="D49" s="930">
        <v>4.6601701000000002E-2</v>
      </c>
      <c r="F49" s="904" t="s">
        <v>667</v>
      </c>
      <c r="G49" s="905">
        <v>55974</v>
      </c>
      <c r="H49" s="929">
        <v>4.6587700000000003E-2</v>
      </c>
      <c r="J49" s="903" t="s">
        <v>667</v>
      </c>
      <c r="K49" s="894">
        <v>55978</v>
      </c>
      <c r="L49" s="928">
        <v>0.39598382399999998</v>
      </c>
    </row>
    <row r="50" spans="2:23">
      <c r="J50" s="903" t="s">
        <v>704</v>
      </c>
      <c r="K50" s="894">
        <v>59630</v>
      </c>
      <c r="L50" s="928">
        <v>0.331760479</v>
      </c>
    </row>
    <row r="51" spans="2:23">
      <c r="J51" s="904" t="s">
        <v>705</v>
      </c>
      <c r="K51" s="905">
        <v>63283</v>
      </c>
      <c r="L51" s="929">
        <v>0.29387605100000003</v>
      </c>
    </row>
    <row r="52" spans="2:23">
      <c r="D52" s="912"/>
      <c r="F52" s="591" t="s">
        <v>694</v>
      </c>
    </row>
    <row r="53" spans="2:23">
      <c r="F53" s="591" t="s">
        <v>695</v>
      </c>
    </row>
    <row r="54" spans="2:23">
      <c r="B54" s="121" t="s">
        <v>700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701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15" t="s">
        <v>687</v>
      </c>
      <c r="C55" s="916" t="s">
        <v>688</v>
      </c>
      <c r="D55" s="916" t="s">
        <v>691</v>
      </c>
      <c r="E55" s="916" t="s">
        <v>692</v>
      </c>
      <c r="F55" s="916" t="s">
        <v>696</v>
      </c>
      <c r="G55" s="916" t="s">
        <v>693</v>
      </c>
      <c r="H55" s="916" t="s">
        <v>697</v>
      </c>
      <c r="I55" s="916" t="s">
        <v>698</v>
      </c>
      <c r="J55" s="916" t="s">
        <v>699</v>
      </c>
      <c r="K55" s="917" t="s">
        <v>689</v>
      </c>
      <c r="L55" s="919" t="s">
        <v>702</v>
      </c>
      <c r="M55" s="919" t="s">
        <v>703</v>
      </c>
      <c r="N55" s="915" t="s">
        <v>687</v>
      </c>
      <c r="O55" s="916" t="s">
        <v>688</v>
      </c>
      <c r="P55" s="916" t="s">
        <v>691</v>
      </c>
      <c r="Q55" s="916" t="s">
        <v>692</v>
      </c>
      <c r="R55" s="916" t="s">
        <v>696</v>
      </c>
      <c r="S55" s="916" t="s">
        <v>693</v>
      </c>
      <c r="T55" s="916" t="s">
        <v>697</v>
      </c>
      <c r="U55" s="916" t="s">
        <v>698</v>
      </c>
      <c r="V55" s="916" t="s">
        <v>699</v>
      </c>
      <c r="W55" s="917" t="s">
        <v>689</v>
      </c>
    </row>
    <row r="56" spans="2:23">
      <c r="B56" s="911">
        <v>45016</v>
      </c>
      <c r="C56" s="909">
        <v>10000000</v>
      </c>
      <c r="D56" s="722"/>
      <c r="E56" s="722"/>
      <c r="F56" s="722"/>
      <c r="G56" s="722"/>
      <c r="H56" s="722"/>
      <c r="I56" s="722"/>
      <c r="J56" s="722"/>
      <c r="K56" s="909">
        <v>10000000</v>
      </c>
      <c r="L56" s="920">
        <v>17.792700000000011</v>
      </c>
      <c r="M56" s="945">
        <f>L56</f>
        <v>17.792700000000011</v>
      </c>
      <c r="N56" s="931">
        <f>M56-L56</f>
        <v>0</v>
      </c>
      <c r="Q56" s="910"/>
      <c r="R56" s="909"/>
    </row>
    <row r="57" spans="2:23">
      <c r="B57" s="911">
        <v>45107</v>
      </c>
      <c r="C57" s="918"/>
      <c r="D57" s="913">
        <v>7.9449336984840704E-2</v>
      </c>
      <c r="E57" s="910">
        <v>-1.3066301515926599</v>
      </c>
      <c r="F57" s="914">
        <f>D57</f>
        <v>7.9449336984840704E-2</v>
      </c>
      <c r="G57" s="164" t="str" cm="1">
        <f t="array" aca="1" ref="G57" ca="1">_xll.d.TestUtils_Equal(D57,F57)</f>
        <v>Ok</v>
      </c>
      <c r="H57" s="909">
        <v>-198079.16892110999</v>
      </c>
      <c r="I57" s="909" cm="1">
        <f t="array" aca="1" ref="I57" ca="1">-$C$56*_xll.d.Dates_Act365(B56,B57)*F57</f>
        <v>-198079.1689211097</v>
      </c>
      <c r="J57" s="838" t="str" cm="1">
        <f t="array" aca="1" ref="J57" ca="1">_xll.d.TestUtils_Equal(H57,I57)</f>
        <v>Ok</v>
      </c>
      <c r="K57" s="909">
        <v>-198079.16892110999</v>
      </c>
      <c r="L57" s="920">
        <v>17.894870650852098</v>
      </c>
      <c r="M57" s="945" cm="1">
        <f t="array" aca="1" ref="M57" ca="1">$M$56*_xll.d.Curve_GetDiscountFactors($K$16,B57)/_xll.d.Curve_GetDiscountFactors($G$16,B57)</f>
        <v>17.911641208201114</v>
      </c>
      <c r="N57" s="931">
        <f t="shared" ref="N57:N104" ca="1" si="0">M57-L57</f>
        <v>1.6770557349016002E-2</v>
      </c>
      <c r="O57" s="920">
        <f ca="1">L57-L56</f>
        <v>0.10217065085208787</v>
      </c>
      <c r="Q57" s="910"/>
      <c r="R57" s="909"/>
    </row>
    <row r="58" spans="2:23">
      <c r="B58" s="911">
        <v>45198</v>
      </c>
      <c r="C58" s="918"/>
      <c r="D58" s="943">
        <v>8.5659143971575508E-2</v>
      </c>
      <c r="E58" s="910">
        <v>-1.3066301515926599</v>
      </c>
      <c r="F58" s="944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909">
        <v>-213561.15346338</v>
      </c>
      <c r="I58" s="909" cm="1">
        <f t="array" aca="1" ref="I58" ca="1">-$C$56*_xll.d.Dates_Act365(B57,B58)*F58</f>
        <v>-213561.15346338015</v>
      </c>
      <c r="J58" s="838" t="str" cm="1">
        <f t="array" aca="1" ref="J58" ca="1">_xll.d.TestUtils_Equal(H58,I58)</f>
        <v>Ok</v>
      </c>
      <c r="K58" s="909">
        <v>-213561.15346338</v>
      </c>
      <c r="L58" s="920">
        <v>18.039530362361127</v>
      </c>
      <c r="M58" s="945" cm="1">
        <f t="array" aca="1" ref="M58" ca="1">$M$56*_xll.d.Curve_GetDiscountFactors($K$16,B58)/_xll.d.Curve_GetDiscountFactors($G$16,B58)</f>
        <v>18.038852538596931</v>
      </c>
      <c r="N58" s="931">
        <f t="shared" ca="1" si="0"/>
        <v>-6.778237641960061E-4</v>
      </c>
      <c r="Q58" s="910"/>
      <c r="R58" s="909"/>
    </row>
    <row r="59" spans="2:23">
      <c r="B59" s="911">
        <v>45289</v>
      </c>
      <c r="C59" s="918"/>
      <c r="D59" s="913">
        <v>8.5957425452982406E-2</v>
      </c>
      <c r="E59" s="910">
        <v>-1.3066301515926599</v>
      </c>
      <c r="F59" s="914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909">
        <v>-214304.814143052</v>
      </c>
      <c r="I59" s="909" cm="1">
        <f t="array" aca="1" ref="I59" ca="1">-$C$56*_xll.d.Dates_Act365(B58,B59)*F59</f>
        <v>-214304.81414305195</v>
      </c>
      <c r="J59" s="838" t="str" cm="1">
        <f t="array" aca="1" ref="J59" ca="1">_xll.d.TestUtils_Equal(H59,I59)</f>
        <v>Ok</v>
      </c>
      <c r="K59" s="909">
        <v>-214304.814143052</v>
      </c>
      <c r="L59" s="920">
        <v>18.203540394045042</v>
      </c>
      <c r="M59" s="945" cm="1">
        <f t="array" aca="1" ref="M59" ca="1">$M$56*_xll.d.Curve_GetDiscountFactors($K$16,B59)/_xll.d.Curve_GetDiscountFactors($G$16,B59)</f>
        <v>18.185580297584739</v>
      </c>
      <c r="N59" s="931">
        <f t="shared" ca="1" si="0"/>
        <v>-1.7960096460303276E-2</v>
      </c>
      <c r="Q59" s="910"/>
      <c r="R59" s="909"/>
    </row>
    <row r="60" spans="2:23">
      <c r="B60" s="911">
        <v>45379</v>
      </c>
      <c r="C60" s="918"/>
      <c r="D60" s="913">
        <v>8.8610687796257609E-2</v>
      </c>
      <c r="E60" s="910">
        <v>-1.3066301515926599</v>
      </c>
      <c r="F60" s="914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909">
        <v>-218492.10689488199</v>
      </c>
      <c r="I60" s="909" cm="1">
        <f t="array" aca="1" ref="I60" ca="1">-$C$56*_xll.d.Dates_Act365(B59,B60)*F60</f>
        <v>-218492.1068948819</v>
      </c>
      <c r="J60" s="838" t="str" cm="1">
        <f t="array" aca="1" ref="J60" ca="1">_xll.d.TestUtils_Equal(H60,I60)</f>
        <v>Ok</v>
      </c>
      <c r="K60" s="909">
        <v>-218492.10689488199</v>
      </c>
      <c r="L60" s="920">
        <v>18.399227340008586</v>
      </c>
      <c r="M60" s="945" cm="1">
        <f t="array" aca="1" ref="M60" ca="1">$M$56*_xll.d.Curve_GetDiscountFactors($K$16,B60)/_xll.d.Curve_GetDiscountFactors($G$16,B60)</f>
        <v>18.345631755457656</v>
      </c>
      <c r="N60" s="931">
        <f t="shared" ca="1" si="0"/>
        <v>-5.3595584550929942E-2</v>
      </c>
      <c r="Q60" s="910"/>
      <c r="R60" s="909"/>
    </row>
    <row r="61" spans="2:23">
      <c r="B61" s="911">
        <v>45471</v>
      </c>
      <c r="C61" s="918"/>
      <c r="D61" s="913">
        <v>8.0897533127980897E-2</v>
      </c>
      <c r="E61" s="910">
        <v>-1.3066301515926599</v>
      </c>
      <c r="F61" s="914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909">
        <v>-203906.11089792501</v>
      </c>
      <c r="I61" s="909" cm="1">
        <f t="array" aca="1" ref="I61" ca="1">-$C$56*_xll.d.Dates_Act365(B60,B61)*F61</f>
        <v>-203906.11089792452</v>
      </c>
      <c r="J61" s="838" t="str" cm="1">
        <f t="array" aca="1" ref="J61" ca="1">_xll.d.TestUtils_Equal(H61,I61)</f>
        <v>Ok</v>
      </c>
      <c r="K61" s="909">
        <v>-203906.11089792501</v>
      </c>
      <c r="L61" s="920">
        <v>18.58389929920898</v>
      </c>
      <c r="M61" s="945" cm="1">
        <f t="array" aca="1" ref="M61" ca="1">$M$56*_xll.d.Curve_GetDiscountFactors($K$16,B61)/_xll.d.Curve_GetDiscountFactors($G$16,B61)</f>
        <v>18.517634351562098</v>
      </c>
      <c r="N61" s="931">
        <f t="shared" ca="1" si="0"/>
        <v>-6.6264947646882177E-2</v>
      </c>
      <c r="Q61" s="910"/>
      <c r="R61" s="909"/>
    </row>
    <row r="62" spans="2:23">
      <c r="B62" s="911">
        <v>45565</v>
      </c>
      <c r="C62" s="918"/>
      <c r="D62" s="913">
        <v>7.271527497035471E-2</v>
      </c>
      <c r="E62" s="910">
        <v>-1.3066301515926599</v>
      </c>
      <c r="F62" s="914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909">
        <v>-187266.735540091</v>
      </c>
      <c r="I62" s="909" cm="1">
        <f t="array" aca="1" ref="I62" ca="1">-$C$56*_xll.d.Dates_Act365(B61,B62)*F62</f>
        <v>-187266.73554009141</v>
      </c>
      <c r="J62" s="838" t="str" cm="1">
        <f t="array" aca="1" ref="J62" ca="1">_xll.d.TestUtils_Equal(H62,I62)</f>
        <v>Ok</v>
      </c>
      <c r="K62" s="909">
        <v>-187266.735540091</v>
      </c>
      <c r="L62" s="920">
        <v>18.751249058697272</v>
      </c>
      <c r="M62" s="945" cm="1">
        <f t="array" aca="1" ref="M62" ca="1">$M$56*_xll.d.Curve_GetDiscountFactors($K$16,B62)/_xll.d.Curve_GetDiscountFactors($G$16,B62)</f>
        <v>18.701706712006381</v>
      </c>
      <c r="N62" s="931">
        <f t="shared" ca="1" si="0"/>
        <v>-4.9542346690891748E-2</v>
      </c>
      <c r="Q62" s="910"/>
      <c r="R62" s="909"/>
    </row>
    <row r="63" spans="2:23">
      <c r="B63" s="911">
        <v>45657</v>
      </c>
      <c r="C63" s="918"/>
      <c r="D63" s="913">
        <v>6.8658062221273602E-2</v>
      </c>
      <c r="E63" s="910">
        <v>-1.3066301515926599</v>
      </c>
      <c r="F63" s="914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909">
        <v>-173055.93765362099</v>
      </c>
      <c r="I63" s="909" cm="1">
        <f t="array" aca="1" ref="I63" ca="1">-$C$56*_xll.d.Dates_Act365(B62,B63)*F63</f>
        <v>-173055.93765362113</v>
      </c>
      <c r="J63" s="838" t="str" cm="1">
        <f t="array" aca="1" ref="J63" ca="1">_xll.d.TestUtils_Equal(H63,I63)</f>
        <v>Ok</v>
      </c>
      <c r="K63" s="909">
        <v>-173055.93765362099</v>
      </c>
      <c r="L63" s="920">
        <v>18.909355370341672</v>
      </c>
      <c r="M63" s="945" cm="1">
        <f t="array" aca="1" ref="M63" ca="1">$M$56*_xll.d.Curve_GetDiscountFactors($K$16,B63)/_xll.d.Curve_GetDiscountFactors($G$16,B63)</f>
        <v>18.890493401102717</v>
      </c>
      <c r="N63" s="931">
        <f t="shared" ca="1" si="0"/>
        <v>-1.8861969238955112E-2</v>
      </c>
      <c r="Q63" s="910"/>
      <c r="R63" s="909"/>
    </row>
    <row r="64" spans="2:23">
      <c r="B64" s="911">
        <v>45747</v>
      </c>
      <c r="C64" s="918"/>
      <c r="D64" s="913">
        <v>6.9032399758861301E-2</v>
      </c>
      <c r="E64" s="910">
        <v>-1.3066301515926599</v>
      </c>
      <c r="F64" s="914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909">
        <v>-170216.87611774</v>
      </c>
      <c r="I64" s="909" cm="1">
        <f t="array" aca="1" ref="I64" ca="1">-$C$56*_xll.d.Dates_Act365(B63,B64)*F64</f>
        <v>-170216.87611773796</v>
      </c>
      <c r="J64" s="838" t="str" cm="1">
        <f t="array" aca="1" ref="J64" ca="1">_xll.d.TestUtils_Equal(H64,I64)</f>
        <v>Ok</v>
      </c>
      <c r="K64" s="909">
        <v>-170216.87611774</v>
      </c>
      <c r="L64" s="920">
        <v>19.074880531430914</v>
      </c>
      <c r="M64" s="945" cm="1">
        <f t="array" aca="1" ref="M64" ca="1">$M$56*_xll.d.Curve_GetDiscountFactors($K$16,B64)/_xll.d.Curve_GetDiscountFactors($G$16,B64)</f>
        <v>19.084066488543119</v>
      </c>
      <c r="N64" s="931">
        <f t="shared" ca="1" si="0"/>
        <v>9.1859571122050454E-3</v>
      </c>
      <c r="Q64" s="910"/>
      <c r="R64" s="909"/>
    </row>
    <row r="65" spans="2:18">
      <c r="B65" s="911">
        <v>45838</v>
      </c>
      <c r="C65" s="918"/>
      <c r="D65" s="913">
        <v>7.3022999924023294E-2</v>
      </c>
      <c r="E65" s="910">
        <v>-1.3066301515926599</v>
      </c>
      <c r="F65" s="914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909">
        <v>-182057.342276332</v>
      </c>
      <c r="I65" s="909" cm="1">
        <f t="array" aca="1" ref="I65" ca="1">-$C$56*_xll.d.Dates_Act365(B64,B65)*F65</f>
        <v>-182057.34227633211</v>
      </c>
      <c r="J65" s="838" t="str" cm="1">
        <f t="array" aca="1" ref="J65" ca="1">_xll.d.TestUtils_Equal(H65,I65)</f>
        <v>Ok</v>
      </c>
      <c r="K65" s="909">
        <v>-182057.342276332</v>
      </c>
      <c r="L65" s="920">
        <v>19.267098857294766</v>
      </c>
      <c r="M65" s="945" cm="1">
        <f t="array" aca="1" ref="M65" ca="1">$M$56*_xll.d.Curve_GetDiscountFactors($K$16,B65)/_xll.d.Curve_GetDiscountFactors($G$16,B65)</f>
        <v>19.289380253939051</v>
      </c>
      <c r="N65" s="931">
        <f t="shared" ca="1" si="0"/>
        <v>2.2281396644284968E-2</v>
      </c>
      <c r="Q65" s="910"/>
      <c r="R65" s="909"/>
    </row>
    <row r="66" spans="2:18">
      <c r="B66" s="911">
        <v>45930</v>
      </c>
      <c r="C66" s="918"/>
      <c r="D66" s="913">
        <v>7.6935608029885805E-2</v>
      </c>
      <c r="E66" s="910">
        <v>-1.3066301515926599</v>
      </c>
      <c r="F66" s="914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909">
        <v>-193919.88873286301</v>
      </c>
      <c r="I66" s="909" cm="1">
        <f t="array" aca="1" ref="I66" ca="1">-$C$56*_xll.d.Dates_Act365(B65,B66)*F66</f>
        <v>-193919.88873286298</v>
      </c>
      <c r="J66" s="838" t="str" cm="1">
        <f t="array" aca="1" ref="J66" ca="1">_xll.d.TestUtils_Equal(H66,I66)</f>
        <v>Ok</v>
      </c>
      <c r="K66" s="909">
        <v>-193919.88873286301</v>
      </c>
      <c r="L66" s="920">
        <v>19.485576679626359</v>
      </c>
      <c r="M66" s="945" cm="1">
        <f t="array" aca="1" ref="M66" ca="1">$M$56*_xll.d.Curve_GetDiscountFactors($K$16,B66)/_xll.d.Curve_GetDiscountFactors($G$16,B66)</f>
        <v>19.507099658341769</v>
      </c>
      <c r="N66" s="931">
        <f t="shared" ca="1" si="0"/>
        <v>2.152297871541009E-2</v>
      </c>
      <c r="Q66" s="910"/>
      <c r="R66" s="909"/>
    </row>
    <row r="67" spans="2:18">
      <c r="B67" s="911">
        <v>46022</v>
      </c>
      <c r="C67" s="918"/>
      <c r="D67" s="913">
        <v>7.9704697604764507E-2</v>
      </c>
      <c r="E67" s="910">
        <v>-1.3066301515926599</v>
      </c>
      <c r="F67" s="914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909">
        <v>-200899.511770913</v>
      </c>
      <c r="I67" s="909" cm="1">
        <f t="array" aca="1" ref="I67" ca="1">-$C$56*_xll.d.Dates_Act365(B66,B67)*F67</f>
        <v>-200899.5117709089</v>
      </c>
      <c r="J67" s="838" t="str" cm="1">
        <f t="array" aca="1" ref="J67" ca="1">_xll.d.TestUtils_Equal(H67,I67)</f>
        <v>Ok</v>
      </c>
      <c r="K67" s="909">
        <v>-200899.511770913</v>
      </c>
      <c r="L67" s="920">
        <v>19.722612154705182</v>
      </c>
      <c r="M67" s="945" cm="1">
        <f t="array" aca="1" ref="M67" ca="1">$M$56*_xll.d.Curve_GetDiscountFactors($K$16,B67)/_xll.d.Curve_GetDiscountFactors($G$16,B67)</f>
        <v>19.735394531252524</v>
      </c>
      <c r="N67" s="931">
        <f t="shared" ca="1" si="0"/>
        <v>1.2782376547342267E-2</v>
      </c>
      <c r="Q67" s="910"/>
      <c r="R67" s="909"/>
    </row>
    <row r="68" spans="2:18">
      <c r="B68" s="911">
        <v>46112</v>
      </c>
      <c r="C68" s="918"/>
      <c r="D68" s="913">
        <v>8.1190332260036413E-2</v>
      </c>
      <c r="E68" s="910">
        <v>-1.3066301515926599</v>
      </c>
      <c r="F68" s="914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909">
        <v>-200195.339819268</v>
      </c>
      <c r="I68" s="909" cm="1">
        <f t="array" aca="1" ref="I68" ca="1">-$C$56*_xll.d.Dates_Act365(B67,B68)*F68</f>
        <v>-200195.3398192701</v>
      </c>
      <c r="J68" s="838" t="str" cm="1">
        <f t="array" aca="1" ref="J68" ca="1">_xll.d.TestUtils_Equal(H68,I68)</f>
        <v>Ok</v>
      </c>
      <c r="K68" s="909">
        <v>-200195.339819268</v>
      </c>
      <c r="L68" s="920">
        <v>19.966227236057911</v>
      </c>
      <c r="M68" s="945" cm="1">
        <f t="array" aca="1" ref="M68" ca="1">$M$56*_xll.d.Curve_GetDiscountFactors($K$16,B68)/_xll.d.Curve_GetDiscountFactors($G$16,B68)</f>
        <v>19.969374209774315</v>
      </c>
      <c r="N68" s="931">
        <f t="shared" ca="1" si="0"/>
        <v>3.1469737164044886E-3</v>
      </c>
      <c r="Q68" s="910"/>
      <c r="R68" s="909"/>
    </row>
    <row r="69" spans="2:18">
      <c r="B69" s="911">
        <v>46203</v>
      </c>
      <c r="C69" s="918"/>
      <c r="D69" s="913">
        <v>8.1659487453250398E-2</v>
      </c>
      <c r="E69" s="910">
        <v>-1.3066301515926599</v>
      </c>
      <c r="F69" s="914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909">
        <v>-203589.40707522701</v>
      </c>
      <c r="I69" s="909" cm="1">
        <f t="array" aca="1" ref="I69" ca="1">-$C$56*_xll.d.Dates_Act365(B68,B69)*F69</f>
        <v>-203589.40707522692</v>
      </c>
      <c r="J69" s="838" t="str" cm="1">
        <f t="array" aca="1" ref="J69" ca="1">_xll.d.TestUtils_Equal(H69,I69)</f>
        <v>Ok</v>
      </c>
      <c r="K69" s="909">
        <v>-203589.40707522701</v>
      </c>
      <c r="L69" s="920">
        <v>20.218802795100956</v>
      </c>
      <c r="M69" s="945" cm="1">
        <f t="array" aca="1" ref="M69" ca="1">$M$56*_xll.d.Curve_GetDiscountFactors($K$16,B69)/_xll.d.Curve_GetDiscountFactors($G$16,B69)</f>
        <v>20.217016497717818</v>
      </c>
      <c r="N69" s="931">
        <f t="shared" ca="1" si="0"/>
        <v>-1.786297383137736E-3</v>
      </c>
      <c r="Q69" s="910"/>
      <c r="R69" s="909"/>
    </row>
    <row r="70" spans="2:18">
      <c r="B70" s="911">
        <v>46295</v>
      </c>
      <c r="C70" s="918"/>
      <c r="D70" s="913">
        <v>8.2205137998336897E-2</v>
      </c>
      <c r="E70" s="910">
        <v>-1.3066301515926599</v>
      </c>
      <c r="F70" s="914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909">
        <v>-207201.991667041</v>
      </c>
      <c r="I70" s="909" cm="1">
        <f t="array" aca="1" ref="I70" ca="1">-$C$56*_xll.d.Dates_Act365(B69,B70)*F70</f>
        <v>-207201.99166704307</v>
      </c>
      <c r="J70" s="838" t="str" cm="1">
        <f t="array" aca="1" ref="J70" ca="1">_xll.d.TestUtils_Equal(H70,I70)</f>
        <v>Ok</v>
      </c>
      <c r="K70" s="909">
        <v>-207201.991667041</v>
      </c>
      <c r="L70" s="920">
        <v>20.480656329084113</v>
      </c>
      <c r="M70" s="945" cm="1">
        <f t="array" aca="1" ref="M70" ca="1">$M$56*_xll.d.Curve_GetDiscountFactors($K$16,B70)/_xll.d.Curve_GetDiscountFactors($G$16,B70)</f>
        <v>20.478651005478703</v>
      </c>
      <c r="N70" s="931">
        <f t="shared" ca="1" si="0"/>
        <v>-2.0053236054096146E-3</v>
      </c>
      <c r="Q70" s="910"/>
      <c r="R70" s="909"/>
    </row>
    <row r="71" spans="2:18">
      <c r="B71" s="911">
        <v>46387</v>
      </c>
      <c r="C71" s="918"/>
      <c r="D71" s="913">
        <v>8.3128411196496596E-2</v>
      </c>
      <c r="E71" s="910">
        <v>-1.3066301515926599</v>
      </c>
      <c r="F71" s="914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909">
        <v>-209529.14602952599</v>
      </c>
      <c r="I71" s="909" cm="1">
        <f t="array" aca="1" ref="I71" ca="1">-$C$56*_xll.d.Dates_Act365(B70,B71)*F71</f>
        <v>-209529.1460295234</v>
      </c>
      <c r="J71" s="838" t="str" cm="1">
        <f t="array" aca="1" ref="J71" ca="1">_xll.d.TestUtils_Equal(H71,I71)</f>
        <v>Ok</v>
      </c>
      <c r="K71" s="909">
        <v>-209529.14602952599</v>
      </c>
      <c r="L71" s="920">
        <v>20.750881501400027</v>
      </c>
      <c r="M71" s="945" cm="1">
        <f t="array" aca="1" ref="M71" ca="1">$M$56*_xll.d.Curve_GetDiscountFactors($K$16,B71)/_xll.d.Curve_GetDiscountFactors($G$16,B71)</f>
        <v>20.751465664787908</v>
      </c>
      <c r="N71" s="931">
        <f t="shared" ca="1" si="0"/>
        <v>5.8416338788092048E-4</v>
      </c>
      <c r="Q71" s="910"/>
      <c r="R71" s="909"/>
    </row>
    <row r="72" spans="2:18">
      <c r="B72" s="911">
        <v>46477</v>
      </c>
      <c r="C72" s="918"/>
      <c r="D72" s="913">
        <v>8.4432021788474504E-2</v>
      </c>
      <c r="E72" s="910">
        <v>-1.3066301515926599</v>
      </c>
      <c r="F72" s="914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909">
        <v>-208188.54687568999</v>
      </c>
      <c r="I72" s="909" cm="1">
        <f t="array" aca="1" ref="I72" ca="1">-$C$56*_xll.d.Dates_Act365(B71,B72)*F72</f>
        <v>-208188.54687569046</v>
      </c>
      <c r="J72" s="838" t="str" cm="1">
        <f t="array" aca="1" ref="J72" ca="1">_xll.d.TestUtils_Equal(H72,I72)</f>
        <v>Ok</v>
      </c>
      <c r="K72" s="909">
        <v>-208188.54687568999</v>
      </c>
      <c r="L72" s="920">
        <v>21.025341056899961</v>
      </c>
      <c r="M72" s="945" cm="1">
        <f t="array" aca="1" ref="M72" ca="1">$M$56*_xll.d.Curve_GetDiscountFactors($K$16,B72)/_xll.d.Curve_GetDiscountFactors($G$16,B72)</f>
        <v>21.028978187803613</v>
      </c>
      <c r="N72" s="931">
        <f t="shared" ca="1" si="0"/>
        <v>3.6371309036518085E-3</v>
      </c>
      <c r="Q72" s="910"/>
      <c r="R72" s="909"/>
    </row>
    <row r="73" spans="2:18">
      <c r="B73" s="911">
        <v>46568</v>
      </c>
      <c r="C73" s="918"/>
      <c r="D73" s="913">
        <v>8.6160459395043298E-2</v>
      </c>
      <c r="E73" s="910">
        <v>-1.3066301515926599</v>
      </c>
      <c r="F73" s="914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909">
        <v>-214811.00835476501</v>
      </c>
      <c r="I73" s="909" cm="1">
        <f t="array" aca="1" ref="I73" ca="1">-$C$56*_xll.d.Dates_Act365(B72,B73)*F73</f>
        <v>-214811.00835476545</v>
      </c>
      <c r="J73" s="838" t="str" cm="1">
        <f t="array" aca="1" ref="J73" ca="1">_xll.d.TestUtils_Equal(H73,I73)</f>
        <v>Ok</v>
      </c>
      <c r="K73" s="909">
        <v>-214811.00835476501</v>
      </c>
      <c r="L73" s="920">
        <v>21.315127138378759</v>
      </c>
      <c r="M73" s="945" cm="1">
        <f t="array" aca="1" ref="M73" ca="1">$M$56*_xll.d.Curve_GetDiscountFactors($K$16,B73)/_xll.d.Curve_GetDiscountFactors($G$16,B73)</f>
        <v>21.32039849132174</v>
      </c>
      <c r="N73" s="931">
        <f t="shared" ca="1" si="0"/>
        <v>5.2713529429802009E-3</v>
      </c>
      <c r="Q73" s="910"/>
      <c r="R73" s="909"/>
    </row>
    <row r="74" spans="2:18">
      <c r="B74" s="911">
        <v>46660</v>
      </c>
      <c r="C74" s="918"/>
      <c r="D74" s="913">
        <v>8.8198809336336906E-2</v>
      </c>
      <c r="E74" s="910">
        <v>-1.3066301515926599</v>
      </c>
      <c r="F74" s="914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909">
        <v>-222309.327642274</v>
      </c>
      <c r="I74" s="909" cm="1">
        <f t="array" aca="1" ref="I74" ca="1">-$C$56*_xll.d.Dates_Act365(B73,B74)*F74</f>
        <v>-222309.32764227162</v>
      </c>
      <c r="J74" s="838" t="str" cm="1">
        <f t="array" aca="1" ref="J74" ca="1">_xll.d.TestUtils_Equal(H74,I74)</f>
        <v>Ok</v>
      </c>
      <c r="K74" s="909">
        <v>-222309.327642274</v>
      </c>
      <c r="L74" s="920">
        <v>21.622381323228868</v>
      </c>
      <c r="M74" s="945" cm="1">
        <f t="array" aca="1" ref="M74" ca="1">$M$56*_xll.d.Curve_GetDiscountFactors($K$16,B74)/_xll.d.Curve_GetDiscountFactors($G$16,B74)</f>
        <v>21.627826936473884</v>
      </c>
      <c r="N74" s="931">
        <f t="shared" ca="1" si="0"/>
        <v>5.4456132450155792E-3</v>
      </c>
      <c r="Q74" s="910"/>
      <c r="R74" s="909"/>
    </row>
    <row r="75" spans="2:18">
      <c r="B75" s="911">
        <v>46752</v>
      </c>
      <c r="C75" s="918"/>
      <c r="D75" s="913">
        <v>9.0518256454501497E-2</v>
      </c>
      <c r="E75" s="910">
        <v>-1.3066301515926599</v>
      </c>
      <c r="F75" s="914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909">
        <v>-228155.605309976</v>
      </c>
      <c r="I75" s="909" cm="1">
        <f t="array" aca="1" ref="I75" ca="1">-$C$56*_xll.d.Dates_Act365(B74,B75)*F75</f>
        <v>-228155.60530997644</v>
      </c>
      <c r="J75" s="838" t="str" cm="1">
        <f t="array" aca="1" ref="J75" ca="1">_xll.d.TestUtils_Equal(H75,I75)</f>
        <v>Ok</v>
      </c>
      <c r="K75" s="909">
        <v>-228155.605309976</v>
      </c>
      <c r="L75" s="920">
        <v>21.94580038898755</v>
      </c>
      <c r="M75" s="945" cm="1">
        <f t="array" aca="1" ref="M75" ca="1">$M$56*_xll.d.Curve_GetDiscountFactors($K$16,B75)/_xll.d.Curve_GetDiscountFactors($G$16,B75)</f>
        <v>21.950545229964025</v>
      </c>
      <c r="N75" s="931">
        <f t="shared" ca="1" si="0"/>
        <v>4.7448409764747623E-3</v>
      </c>
      <c r="Q75" s="910"/>
      <c r="R75" s="909"/>
    </row>
    <row r="76" spans="2:18">
      <c r="B76" s="911">
        <v>46843</v>
      </c>
      <c r="C76" s="918"/>
      <c r="D76" s="913">
        <v>9.3116168113874298E-2</v>
      </c>
      <c r="E76" s="910">
        <v>-1.3066301515926599</v>
      </c>
      <c r="F76" s="914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909">
        <v>-232152.63831130299</v>
      </c>
      <c r="I76" s="909" cm="1">
        <f t="array" aca="1" ref="I76" ca="1">-$C$56*_xll.d.Dates_Act365(B75,B76)*F76</f>
        <v>-232152.63831130532</v>
      </c>
      <c r="J76" s="838" t="str" cm="1">
        <f t="array" aca="1" ref="J76" ca="1">_xll.d.TestUtils_Equal(H76,I76)</f>
        <v>Ok</v>
      </c>
      <c r="K76" s="909">
        <v>-232152.63831130299</v>
      </c>
      <c r="L76" s="940">
        <v>22.283609961634713</v>
      </c>
      <c r="M76" s="945" cm="1">
        <f t="array" aca="1" ref="M76" ca="1">$M$56*_xll.d.Curve_GetDiscountFactors($K$16,B76)/_xll.d.Curve_GetDiscountFactors($G$16,B76)</f>
        <v>22.287498527315883</v>
      </c>
      <c r="N76" s="931">
        <f t="shared" ca="1" si="0"/>
        <v>3.8885656811693536E-3</v>
      </c>
      <c r="Q76" s="910"/>
      <c r="R76" s="909"/>
    </row>
    <row r="77" spans="2:18">
      <c r="B77" s="911">
        <v>46934</v>
      </c>
      <c r="C77" s="918"/>
      <c r="D77" s="913">
        <v>9.5916829839174406E-2</v>
      </c>
      <c r="E77" s="910">
        <v>-1.3066301515926599</v>
      </c>
      <c r="F77" s="914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909">
        <v>-239135.11000999599</v>
      </c>
      <c r="I77" s="909" cm="1">
        <f t="array" aca="1" ref="I77" ca="1">-$C$56*_xll.d.Dates_Act365(B76,B77)*F77</f>
        <v>-239135.11000999637</v>
      </c>
      <c r="J77" s="838" t="str" cm="1">
        <f t="array" aca="1" ref="J77" ca="1">_xll.d.TestUtils_Equal(H77,I77)</f>
        <v>Ok</v>
      </c>
      <c r="K77" s="909">
        <v>-239135.11000999599</v>
      </c>
      <c r="L77" s="910">
        <v>22.64087651628552</v>
      </c>
      <c r="M77" s="945" cm="1">
        <f t="array" aca="1" ref="M77" ca="1">$M$56*_xll.d.Curve_GetDiscountFactors($K$16,B77)/_xll.d.Curve_GetDiscountFactors($G$16,B77)</f>
        <v>22.644376176783336</v>
      </c>
      <c r="N77" s="931">
        <f t="shared" ca="1" si="0"/>
        <v>3.4996604978161372E-3</v>
      </c>
      <c r="Q77" s="910"/>
      <c r="R77" s="909"/>
    </row>
    <row r="78" spans="2:18">
      <c r="B78" s="911">
        <v>47025</v>
      </c>
      <c r="C78" s="918"/>
      <c r="D78" s="913">
        <v>9.84430222561231E-2</v>
      </c>
      <c r="E78" s="910">
        <v>-1.3066301515926599</v>
      </c>
      <c r="F78" s="914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909">
        <v>-245433.28836458101</v>
      </c>
      <c r="I78" s="909" cm="1">
        <f t="array" aca="1" ref="I78" ca="1">-$C$56*_xll.d.Dates_Act365(B77,B78)*F78</f>
        <v>-245433.28836458092</v>
      </c>
      <c r="J78" s="838" t="str" cm="1">
        <f t="array" aca="1" ref="J78" ca="1">_xll.d.TestUtils_Equal(H78,I78)</f>
        <v>Ok</v>
      </c>
      <c r="K78" s="909">
        <v>-245433.28836458101</v>
      </c>
      <c r="L78" s="910">
        <v>23.016971889839834</v>
      </c>
      <c r="M78" s="945" cm="1">
        <f t="array" aca="1" ref="M78" ca="1">$M$56*_xll.d.Curve_GetDiscountFactors($K$16,B78)/_xll.d.Curve_GetDiscountFactors($G$16,B78)</f>
        <v>23.020553715712257</v>
      </c>
      <c r="N78" s="931">
        <f t="shared" ca="1" si="0"/>
        <v>3.5818258724233942E-3</v>
      </c>
      <c r="Q78" s="910"/>
      <c r="R78" s="909"/>
    </row>
    <row r="79" spans="2:18">
      <c r="B79" s="911">
        <v>47116</v>
      </c>
      <c r="C79" s="918"/>
      <c r="D79" s="913">
        <v>0.100536132711461</v>
      </c>
      <c r="E79" s="910">
        <v>-1.3066301515926599</v>
      </c>
      <c r="F79" s="914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909">
        <v>-250651.72812994299</v>
      </c>
      <c r="I79" s="909" cm="1">
        <f t="array" aca="1" ref="I79" ca="1">-$C$56*_xll.d.Dates_Act365(B78,B79)*F79</f>
        <v>-250651.72812994523</v>
      </c>
      <c r="J79" s="838" t="str" cm="1">
        <f t="array" aca="1" ref="J79" ca="1">_xll.d.TestUtils_Equal(H79,I79)</f>
        <v>Ok</v>
      </c>
      <c r="K79" s="909">
        <v>-250651.72812994299</v>
      </c>
      <c r="L79" s="910">
        <v>23.410419501963045</v>
      </c>
      <c r="M79" s="945" cm="1">
        <f t="array" aca="1" ref="M79" ca="1">$M$56*_xll.d.Curve_GetDiscountFactors($K$16,B79)/_xll.d.Curve_GetDiscountFactors($G$16,B79)</f>
        <v>23.414368031742956</v>
      </c>
      <c r="N79" s="931">
        <f t="shared" ca="1" si="0"/>
        <v>3.9485297799117802E-3</v>
      </c>
      <c r="Q79" s="910"/>
      <c r="R79" s="909"/>
    </row>
    <row r="80" spans="2:18">
      <c r="B80" s="911">
        <v>47206</v>
      </c>
      <c r="C80" s="918"/>
      <c r="D80" s="913">
        <v>0.102126538084113</v>
      </c>
      <c r="E80" s="910">
        <v>-1.3066301515926599</v>
      </c>
      <c r="F80" s="914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909">
        <v>-251818.861029319</v>
      </c>
      <c r="I80" s="909" cm="1">
        <f t="array" aca="1" ref="I80" ca="1">-$C$56*_xll.d.Dates_Act365(B79,B80)*F80</f>
        <v>-251818.8610293192</v>
      </c>
      <c r="J80" s="838" t="str" cm="1">
        <f t="array" aca="1" ref="J80" ca="1">_xll.d.TestUtils_Equal(H80,I80)</f>
        <v>Ok</v>
      </c>
      <c r="K80" s="909">
        <v>-251818.861029319</v>
      </c>
      <c r="L80" s="910">
        <v>23.814793772397049</v>
      </c>
      <c r="M80" s="945" cm="1">
        <f t="array" aca="1" ref="M80" ca="1">$M$56*_xll.d.Curve_GetDiscountFactors($K$16,B80)/_xll.d.Curve_GetDiscountFactors($G$16,B80)</f>
        <v>23.819167982156607</v>
      </c>
      <c r="N80" s="931">
        <f t="shared" ca="1" si="0"/>
        <v>4.3742097595576013E-3</v>
      </c>
      <c r="Q80" s="910"/>
      <c r="R80" s="909"/>
    </row>
    <row r="81" spans="2:18">
      <c r="B81" s="911">
        <v>47298</v>
      </c>
      <c r="C81" s="918"/>
      <c r="D81" s="913">
        <v>0.103319112272896</v>
      </c>
      <c r="E81" s="910">
        <v>-1.3066301515926599</v>
      </c>
      <c r="F81" s="914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909">
        <v>-260420.77613990201</v>
      </c>
      <c r="I81" s="909" cm="1">
        <f t="array" aca="1" ref="I81" ca="1">-$C$56*_xll.d.Dates_Act365(B80,B81)*F81</f>
        <v>-260420.77613990463</v>
      </c>
      <c r="J81" s="838" t="str" cm="1">
        <f t="array" aca="1" ref="J81" ca="1">_xll.d.TestUtils_Equal(H81,I81)</f>
        <v>Ok</v>
      </c>
      <c r="K81" s="909">
        <v>-260420.77613990201</v>
      </c>
      <c r="L81" s="910">
        <v>24.241969586046242</v>
      </c>
      <c r="M81" s="945" cm="1">
        <f t="array" aca="1" ref="M81" ca="1">$M$56*_xll.d.Curve_GetDiscountFactors($K$16,B81)/_xll.d.Curve_GetDiscountFactors($G$16,B81)</f>
        <v>24.246637092751342</v>
      </c>
      <c r="N81" s="931">
        <f t="shared" ca="1" si="0"/>
        <v>4.6675067051005215E-3</v>
      </c>
      <c r="Q81" s="910"/>
      <c r="R81" s="909"/>
    </row>
    <row r="82" spans="2:18">
      <c r="B82" s="911">
        <v>47389</v>
      </c>
      <c r="C82" s="918"/>
      <c r="D82" s="913">
        <v>0.10431805179244799</v>
      </c>
      <c r="E82" s="910">
        <v>-1.3066301515926599</v>
      </c>
      <c r="F82" s="914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909">
        <v>-260080.62227706201</v>
      </c>
      <c r="I82" s="909" cm="1">
        <f t="array" aca="1" ref="I82" ca="1">-$C$56*_xll.d.Dates_Act365(B81,B82)*F82</f>
        <v>-260080.62227706178</v>
      </c>
      <c r="J82" s="838" t="str" cm="1">
        <f t="array" aca="1" ref="J82" ca="1">_xll.d.TestUtils_Equal(H82,I82)</f>
        <v>Ok</v>
      </c>
      <c r="K82" s="909">
        <v>-260080.62227706201</v>
      </c>
      <c r="L82" s="910">
        <v>24.677823863857284</v>
      </c>
      <c r="M82" s="945" cm="1">
        <f t="array" aca="1" ref="M82" ca="1">$M$56*_xll.d.Curve_GetDiscountFactors($K$16,B82)/_xll.d.Curve_GetDiscountFactors($G$16,B82)</f>
        <v>24.682636891172152</v>
      </c>
      <c r="N82" s="931">
        <f t="shared" ca="1" si="0"/>
        <v>4.8130273148672131E-3</v>
      </c>
      <c r="Q82" s="910"/>
      <c r="R82" s="909"/>
    </row>
    <row r="83" spans="2:18">
      <c r="B83" s="911">
        <v>47483</v>
      </c>
      <c r="C83" s="918"/>
      <c r="D83" s="913">
        <v>0.105296972766981</v>
      </c>
      <c r="E83" s="910">
        <v>-1.3066301515926599</v>
      </c>
      <c r="F83" s="914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909">
        <v>-271175.76548208902</v>
      </c>
      <c r="I83" s="909" cm="1">
        <f t="array" aca="1" ref="I83" ca="1">-$C$56*_xll.d.Dates_Act365(B82,B83)*F83</f>
        <v>-271175.76548208675</v>
      </c>
      <c r="J83" s="838" t="str" cm="1">
        <f t="array" aca="1" ref="J83" ca="1">_xll.d.TestUtils_Equal(H83,I83)</f>
        <v>Ok</v>
      </c>
      <c r="K83" s="909">
        <v>-271175.76548208902</v>
      </c>
      <c r="L83" s="910">
        <v>25.141844082817311</v>
      </c>
      <c r="M83" s="945" cm="1">
        <f t="array" aca="1" ref="M83" ca="1">$M$56*_xll.d.Curve_GetDiscountFactors($K$16,B83)/_xll.d.Curve_GetDiscountFactors($G$16,B83)</f>
        <v>25.146718287656991</v>
      </c>
      <c r="N83" s="931">
        <f t="shared" ca="1" si="0"/>
        <v>4.8742048396803739E-3</v>
      </c>
      <c r="Q83" s="910"/>
      <c r="R83" s="909"/>
    </row>
    <row r="84" spans="2:18">
      <c r="B84" s="911">
        <v>47571</v>
      </c>
      <c r="C84" s="918"/>
      <c r="D84" s="913">
        <v>0.10602518720704801</v>
      </c>
      <c r="E84" s="910">
        <v>-1.3066301515926599</v>
      </c>
      <c r="F84" s="914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909">
        <v>-255622.36915671799</v>
      </c>
      <c r="I84" s="909" cm="1">
        <f t="array" aca="1" ref="I84" ca="1">-$C$56*_xll.d.Dates_Act365(B83,B84)*F84</f>
        <v>-255622.3691567182</v>
      </c>
      <c r="J84" s="838" t="str" cm="1">
        <f t="array" aca="1" ref="J84" ca="1">_xll.d.TestUtils_Equal(H84,I84)</f>
        <v>Ok</v>
      </c>
      <c r="K84" s="909">
        <v>-255622.36915671799</v>
      </c>
      <c r="L84" s="910">
        <v>25.588761113787701</v>
      </c>
      <c r="M84" s="945" cm="1">
        <f t="array" aca="1" ref="M84" ca="1">$M$56*_xll.d.Curve_GetDiscountFactors($K$16,B84)/_xll.d.Curve_GetDiscountFactors($G$16,B84)</f>
        <v>25.593678200977099</v>
      </c>
      <c r="N84" s="931">
        <f t="shared" ca="1" si="0"/>
        <v>4.9170871893977619E-3</v>
      </c>
      <c r="Q84" s="910"/>
      <c r="R84" s="909"/>
    </row>
    <row r="85" spans="2:18">
      <c r="B85" s="911">
        <v>47662</v>
      </c>
      <c r="C85" s="918"/>
      <c r="D85" s="913">
        <v>0.10679415523651499</v>
      </c>
      <c r="E85" s="910">
        <v>-1.3066301515926599</v>
      </c>
      <c r="F85" s="914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909">
        <v>-266253.92127460003</v>
      </c>
      <c r="I85" s="909" cm="1">
        <f t="array" aca="1" ref="I85" ca="1">-$C$56*_xll.d.Dates_Act365(B84,B85)*F85</f>
        <v>-266253.92127460008</v>
      </c>
      <c r="J85" s="838" t="str" cm="1">
        <f t="array" aca="1" ref="J85" ca="1">_xll.d.TestUtils_Equal(H85,I85)</f>
        <v>Ok</v>
      </c>
      <c r="K85" s="909">
        <v>-266253.92127460003</v>
      </c>
      <c r="L85" s="910">
        <v>26.063437853111168</v>
      </c>
      <c r="M85" s="945" cm="1">
        <f t="array" aca="1" ref="M85" ca="1">$M$56*_xll.d.Curve_GetDiscountFactors($K$16,B85)/_xll.d.Curve_GetDiscountFactors($G$16,B85)</f>
        <v>26.068448886374767</v>
      </c>
      <c r="N85" s="931">
        <f t="shared" ca="1" si="0"/>
        <v>5.0110332635995292E-3</v>
      </c>
      <c r="Q85" s="910"/>
      <c r="R85" s="909"/>
    </row>
    <row r="86" spans="2:18">
      <c r="B86" s="911">
        <v>47756</v>
      </c>
      <c r="C86" s="918"/>
      <c r="D86" s="913">
        <v>0.10760383124936</v>
      </c>
      <c r="E86" s="910">
        <v>-1.3066301515926599</v>
      </c>
      <c r="F86" s="914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909">
        <v>-277116.716094242</v>
      </c>
      <c r="I86" s="909" cm="1">
        <f t="array" aca="1" ref="I86" ca="1">-$C$56*_xll.d.Dates_Act365(B85,B86)*F86</f>
        <v>-277116.71609424223</v>
      </c>
      <c r="J86" s="838" t="str" cm="1">
        <f t="array" aca="1" ref="J86" ca="1">_xll.d.TestUtils_Equal(H86,I86)</f>
        <v>Ok</v>
      </c>
      <c r="K86" s="909">
        <v>-277116.716094242</v>
      </c>
      <c r="L86" s="910">
        <v>26.567167201693945</v>
      </c>
      <c r="M86" s="945" cm="1">
        <f t="array" aca="1" ref="M86" ca="1">$M$56*_xll.d.Curve_GetDiscountFactors($K$16,B86)/_xll.d.Curve_GetDiscountFactors($G$16,B86)</f>
        <v>26.572329521124935</v>
      </c>
      <c r="N86" s="931">
        <f t="shared" ca="1" si="0"/>
        <v>5.1623194309904363E-3</v>
      </c>
      <c r="Q86" s="910"/>
      <c r="R86" s="909"/>
    </row>
    <row r="87" spans="2:18">
      <c r="B87" s="911">
        <v>47848</v>
      </c>
      <c r="C87" s="918"/>
      <c r="D87" s="913">
        <v>0.108382976383149</v>
      </c>
      <c r="E87" s="910">
        <v>-1.3066301515926599</v>
      </c>
      <c r="F87" s="914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909">
        <v>-273184.48841780098</v>
      </c>
      <c r="I87" s="909" cm="1">
        <f t="array" aca="1" ref="I87" ca="1">-$C$56*_xll.d.Dates_Act365(B86,B87)*F87</f>
        <v>-273184.48841780139</v>
      </c>
      <c r="J87" s="838" t="str" cm="1">
        <f t="array" aca="1" ref="J87" ca="1">_xll.d.TestUtils_Equal(H87,I87)</f>
        <v>Ok</v>
      </c>
      <c r="K87" s="909">
        <v>-273184.48841780098</v>
      </c>
      <c r="L87" s="910">
        <v>27.073447327814083</v>
      </c>
      <c r="M87" s="945" cm="1">
        <f t="array" aca="1" ref="M87" ca="1">$M$56*_xll.d.Curve_GetDiscountFactors($K$16,B87)/_xll.d.Curve_GetDiscountFactors($G$16,B87)</f>
        <v>27.078792283955217</v>
      </c>
      <c r="N87" s="931">
        <f t="shared" ca="1" si="0"/>
        <v>5.3449561411333946E-3</v>
      </c>
      <c r="Q87" s="910"/>
      <c r="R87" s="909"/>
    </row>
    <row r="88" spans="2:18">
      <c r="B88" s="911">
        <v>47938</v>
      </c>
      <c r="C88" s="918"/>
      <c r="D88" s="913">
        <v>0.10919045348551699</v>
      </c>
      <c r="E88" s="910">
        <v>-1.3066301515926599</v>
      </c>
      <c r="F88" s="914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909">
        <v>-269236.73462182202</v>
      </c>
      <c r="I88" s="909" cm="1">
        <f t="array" aca="1" ref="I88" ca="1">-$C$56*_xll.d.Dates_Act365(B87,B88)*F88</f>
        <v>-269236.73462182155</v>
      </c>
      <c r="J88" s="838" t="str" cm="1">
        <f t="array" aca="1" ref="J88" ca="1">_xll.d.TestUtils_Equal(H88,I88)</f>
        <v>Ok</v>
      </c>
      <c r="K88" s="909">
        <v>-269236.73462182202</v>
      </c>
      <c r="L88" s="910">
        <v>27.581493358998397</v>
      </c>
      <c r="M88" s="945" cm="1">
        <f t="array" aca="1" ref="M88" ca="1">$M$56*_xll.d.Curve_GetDiscountFactors($K$16,B88)/_xll.d.Curve_GetDiscountFactors($G$16,B88)</f>
        <v>27.587028207823426</v>
      </c>
      <c r="N88" s="931">
        <f t="shared" ca="1" si="0"/>
        <v>5.5348488250288597E-3</v>
      </c>
      <c r="Q88" s="910"/>
      <c r="R88" s="909"/>
    </row>
    <row r="89" spans="2:18">
      <c r="B89" s="911">
        <v>48029</v>
      </c>
      <c r="C89" s="918"/>
      <c r="D89" s="913">
        <v>0.10999728380375601</v>
      </c>
      <c r="E89" s="910">
        <v>-1.3066301515926599</v>
      </c>
      <c r="F89" s="914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909">
        <v>-274239.803455938</v>
      </c>
      <c r="I89" s="909" cm="1">
        <f t="array" aca="1" ref="I89" ca="1">-$C$56*_xll.d.Dates_Act365(B88,B89)*F89</f>
        <v>-274239.8034559362</v>
      </c>
      <c r="J89" s="838" t="str" cm="1">
        <f t="array" aca="1" ref="J89" ca="1">_xll.d.TestUtils_Equal(H89,I89)</f>
        <v>Ok</v>
      </c>
      <c r="K89" s="909">
        <v>-274239.803455938</v>
      </c>
      <c r="L89" s="910">
        <v>28.107644750890074</v>
      </c>
      <c r="M89" s="945" cm="1">
        <f t="array" aca="1" ref="M89" ca="1">$M$56*_xll.d.Curve_GetDiscountFactors($K$16,B89)/_xll.d.Curve_GetDiscountFactors($G$16,B89)</f>
        <v>28.113362105648271</v>
      </c>
      <c r="N89" s="931">
        <f t="shared" ca="1" si="0"/>
        <v>5.717354758196791E-3</v>
      </c>
      <c r="Q89" s="910"/>
      <c r="R89" s="909"/>
    </row>
    <row r="90" spans="2:18">
      <c r="B90" s="911">
        <v>48121</v>
      </c>
      <c r="C90" s="918"/>
      <c r="D90" s="913">
        <v>0.11036981957537</v>
      </c>
      <c r="E90" s="910">
        <v>-1.3066301515926599</v>
      </c>
      <c r="F90" s="914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909">
        <v>-278192.42194339901</v>
      </c>
      <c r="I90" s="909" cm="1">
        <f t="array" aca="1" ref="I90" ca="1">-$C$56*_xll.d.Dates_Act365(B89,B90)*F90</f>
        <v>-278192.42194340396</v>
      </c>
      <c r="J90" s="838" t="str" cm="1">
        <f t="array" aca="1" ref="J90" ca="1">_xll.d.TestUtils_Equal(H90,I90)</f>
        <v>Ok</v>
      </c>
      <c r="K90" s="909">
        <v>-278192.42194339901</v>
      </c>
      <c r="L90" s="910">
        <v>28.649994302645634</v>
      </c>
      <c r="M90" s="945" cm="1">
        <f t="array" aca="1" ref="M90" ca="1">$M$56*_xll.d.Curve_GetDiscountFactors($K$16,B90)/_xll.d.Curve_GetDiscountFactors($G$16,B90)</f>
        <v>28.65588428503187</v>
      </c>
      <c r="N90" s="931">
        <f t="shared" ca="1" si="0"/>
        <v>5.88998238623617E-3</v>
      </c>
      <c r="Q90" s="910"/>
      <c r="R90" s="909"/>
    </row>
    <row r="91" spans="2:18">
      <c r="B91" s="911">
        <v>48213</v>
      </c>
      <c r="C91" s="918"/>
      <c r="D91" s="913">
        <v>0.110127577694814</v>
      </c>
      <c r="E91" s="910">
        <v>-1.3066301515926599</v>
      </c>
      <c r="F91" s="914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909">
        <v>-277581.83966912102</v>
      </c>
      <c r="I91" s="909" cm="1">
        <f t="array" aca="1" ref="I91" ca="1">-$C$56*_xll.d.Dates_Act365(B90,B91)*F91</f>
        <v>-277581.83966912091</v>
      </c>
      <c r="J91" s="838" t="str" cm="1">
        <f t="array" aca="1" ref="J91" ca="1">_xll.d.TestUtils_Equal(H91,I91)</f>
        <v>Ok</v>
      </c>
      <c r="K91" s="909">
        <v>-277581.83966912102</v>
      </c>
      <c r="L91" s="910">
        <v>29.199476971657475</v>
      </c>
      <c r="M91" s="945" cm="1">
        <f t="array" aca="1" ref="M91" ca="1">$M$56*_xll.d.Curve_GetDiscountFactors($K$16,B91)/_xll.d.Curve_GetDiscountFactors($G$16,B91)</f>
        <v>29.205531159963734</v>
      </c>
      <c r="N91" s="931">
        <f t="shared" ca="1" si="0"/>
        <v>6.0541883062583679E-3</v>
      </c>
      <c r="Q91" s="910"/>
      <c r="R91" s="909"/>
    </row>
    <row r="92" spans="2:18">
      <c r="B92" s="911">
        <v>48304</v>
      </c>
      <c r="C92" s="918"/>
      <c r="D92" s="913">
        <v>0.10920837468591399</v>
      </c>
      <c r="E92" s="910">
        <v>-1.3066301515926599</v>
      </c>
      <c r="F92" s="914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909">
        <v>-272272.93414844398</v>
      </c>
      <c r="I92" s="909" cm="1">
        <f t="array" aca="1" ref="I92" ca="1">-$C$56*_xll.d.Dates_Act365(B91,B92)*F92</f>
        <v>-272272.93414844357</v>
      </c>
      <c r="J92" s="838" t="str" cm="1">
        <f t="array" aca="1" ref="J92" ca="1">_xll.d.TestUtils_Equal(H92,I92)</f>
        <v>Ok</v>
      </c>
      <c r="K92" s="909">
        <v>-272272.93414844398</v>
      </c>
      <c r="L92" s="910">
        <v>29.746012443954868</v>
      </c>
      <c r="M92" s="945" cm="1">
        <f t="array" aca="1" ref="M92" ca="1">$M$56*_xll.d.Curve_GetDiscountFactors($K$16,B92)/_xll.d.Curve_GetDiscountFactors($G$16,B92)</f>
        <v>29.752225041990982</v>
      </c>
      <c r="N92" s="931">
        <f t="shared" ca="1" si="0"/>
        <v>6.2125980361145139E-3</v>
      </c>
      <c r="Q92" s="910"/>
      <c r="R92" s="909"/>
    </row>
    <row r="93" spans="2:18">
      <c r="B93" s="911">
        <v>48395</v>
      </c>
      <c r="C93" s="918"/>
      <c r="D93" s="913">
        <v>0.10782235017127099</v>
      </c>
      <c r="E93" s="910">
        <v>-1.3066301515926599</v>
      </c>
      <c r="F93" s="914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909">
        <v>-268817.36618042999</v>
      </c>
      <c r="I93" s="909" cm="1">
        <f t="array" aca="1" ref="I93" ca="1">-$C$56*_xll.d.Dates_Act365(B92,B93)*F93</f>
        <v>-268817.36618043209</v>
      </c>
      <c r="J93" s="838" t="str" cm="1">
        <f t="array" aca="1" ref="J93" ca="1">_xll.d.TestUtils_Equal(H93,I93)</f>
        <v>Ok</v>
      </c>
      <c r="K93" s="909">
        <v>-268817.36618042999</v>
      </c>
      <c r="L93" s="910">
        <v>30.292403954859701</v>
      </c>
      <c r="M93" s="945" cm="1">
        <f t="array" aca="1" ref="M93" ca="1">$M$56*_xll.d.Curve_GetDiscountFactors($K$16,B93)/_xll.d.Curve_GetDiscountFactors($G$16,B93)</f>
        <v>30.298775340236435</v>
      </c>
      <c r="N93" s="931">
        <f t="shared" ca="1" si="0"/>
        <v>6.3713853767346507E-3</v>
      </c>
      <c r="Q93" s="910"/>
      <c r="R93" s="909"/>
    </row>
    <row r="94" spans="2:18">
      <c r="B94" s="911">
        <v>48487</v>
      </c>
      <c r="C94" s="918"/>
      <c r="D94" s="913">
        <v>0.10688431637066</v>
      </c>
      <c r="E94" s="910">
        <v>-1.3066301515926599</v>
      </c>
      <c r="F94" s="914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909">
        <v>-269407.04400275799</v>
      </c>
      <c r="I94" s="909" cm="1">
        <f t="array" aca="1" ref="I94" ca="1">-$C$56*_xll.d.Dates_Act365(B93,B94)*F94</f>
        <v>-269407.04400276067</v>
      </c>
      <c r="J94" s="838" t="str" cm="1">
        <f t="array" aca="1" ref="J94" ca="1">_xll.d.TestUtils_Equal(H94,I94)</f>
        <v>Ok</v>
      </c>
      <c r="K94" s="909">
        <v>-269407.04400275799</v>
      </c>
      <c r="L94" s="910">
        <v>30.847524303546869</v>
      </c>
      <c r="M94" s="945" cm="1">
        <f t="array" aca="1" ref="M94" ca="1">$M$56*_xll.d.Curve_GetDiscountFactors($K$16,B94)/_xll.d.Curve_GetDiscountFactors($G$16,B94)</f>
        <v>30.854058634712992</v>
      </c>
      <c r="N94" s="931">
        <f t="shared" ca="1" si="0"/>
        <v>6.5343311661223424E-3</v>
      </c>
      <c r="Q94" s="910"/>
      <c r="R94" s="909"/>
    </row>
    <row r="95" spans="2:18">
      <c r="B95" s="911">
        <v>48579</v>
      </c>
      <c r="C95" s="918"/>
      <c r="D95" s="913">
        <v>0.106677757608655</v>
      </c>
      <c r="E95" s="910">
        <v>-1.3066301515926599</v>
      </c>
      <c r="F95" s="914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909">
        <v>-268886.40273962298</v>
      </c>
      <c r="I95" s="909" cm="1">
        <f t="array" aca="1" ref="I95" ca="1">-$C$56*_xll.d.Dates_Act365(B94,B95)*F95</f>
        <v>-268886.40273962088</v>
      </c>
      <c r="J95" s="838" t="str" cm="1">
        <f t="array" aca="1" ref="J95" ca="1">_xll.d.TestUtils_Equal(H95,I95)</f>
        <v>Ok</v>
      </c>
      <c r="K95" s="909">
        <v>-268886.40273962298</v>
      </c>
      <c r="L95" s="910">
        <v>31.410653040406551</v>
      </c>
      <c r="M95" s="945" cm="1">
        <f t="array" aca="1" ref="M95" ca="1">$M$56*_xll.d.Curve_GetDiscountFactors($K$16,B95)/_xll.d.Curve_GetDiscountFactors($G$16,B95)</f>
        <v>31.417354395328481</v>
      </c>
      <c r="N95" s="931">
        <f t="shared" ca="1" si="0"/>
        <v>6.701354921929692E-3</v>
      </c>
      <c r="Q95" s="910"/>
      <c r="R95" s="909"/>
    </row>
    <row r="96" spans="2:18">
      <c r="B96" s="911">
        <v>48669</v>
      </c>
      <c r="C96" s="918"/>
      <c r="D96" s="913">
        <v>0.107269315396405</v>
      </c>
      <c r="E96" s="910">
        <v>-1.3066301515926599</v>
      </c>
      <c r="F96" s="914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909">
        <v>-264499.68179935397</v>
      </c>
      <c r="I96" s="909" cm="1">
        <f t="array" aca="1" ref="I96" ca="1">-$C$56*_xll.d.Dates_Act365(B95,B96)*F96</f>
        <v>-264499.68179935159</v>
      </c>
      <c r="J96" s="838" t="str" cm="1">
        <f t="array" aca="1" ref="J96" ca="1">_xll.d.TestUtils_Equal(H96,I96)</f>
        <v>Ok</v>
      </c>
      <c r="K96" s="936">
        <v>-264499.68179935397</v>
      </c>
      <c r="L96" s="946">
        <v>31.975390685164221</v>
      </c>
      <c r="M96" s="945" cm="1">
        <f t="array" aca="1" ref="M96" ca="1">$M$56*_xll.d.Curve_GetDiscountFactors($K$16,B96)/_xll.d.Curve_GetDiscountFactors($G$16,B96)</f>
        <v>31.982261350663752</v>
      </c>
      <c r="N96" s="937">
        <f t="shared" ca="1" si="0"/>
        <v>6.870665499530304E-3</v>
      </c>
      <c r="O96" s="947">
        <v>31.9753906851642</v>
      </c>
      <c r="Q96" s="910"/>
      <c r="R96" s="909"/>
    </row>
    <row r="97" spans="2:18">
      <c r="B97" s="911">
        <v>48760</v>
      </c>
      <c r="C97" s="918"/>
      <c r="D97" s="913">
        <v>0.108617774089257</v>
      </c>
      <c r="E97" s="910">
        <v>-1.3066301515926599</v>
      </c>
      <c r="F97" s="914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909">
        <v>-270800.47786636697</v>
      </c>
      <c r="I97" s="909" cm="1">
        <f t="array" aca="1" ref="I97" ca="1">-$C$56*_xll.d.Dates_Act365(B96,B97)*F97</f>
        <v>-270800.47786636691</v>
      </c>
      <c r="J97" s="838" t="str" cm="1">
        <f t="array" aca="1" ref="J97" ca="1">_xll.d.TestUtils_Equal(H97,I97)</f>
        <v>Ok</v>
      </c>
      <c r="K97" s="909">
        <v>-270800.47786636697</v>
      </c>
      <c r="L97" s="910">
        <v>32.566099783818196</v>
      </c>
      <c r="M97" s="945" cm="1">
        <f t="array" aca="1" ref="M97" ca="1">$M$56*_xll.d.Curve_GetDiscountFactors($K$16,B97)/_xll.d.Curve_GetDiscountFactors($G$16,B97)</f>
        <v>32.573149489688191</v>
      </c>
      <c r="N97" s="931">
        <f t="shared" ca="1" si="0"/>
        <v>7.0497058699956483E-3</v>
      </c>
      <c r="Q97" s="910"/>
      <c r="R97" s="909"/>
    </row>
    <row r="98" spans="2:18">
      <c r="B98" s="911">
        <v>48852</v>
      </c>
      <c r="C98" s="918"/>
      <c r="D98" s="913">
        <v>0.109963643040318</v>
      </c>
      <c r="E98" s="910">
        <v>-1.3066301515926599</v>
      </c>
      <c r="F98" s="914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909">
        <v>-277168.63451258099</v>
      </c>
      <c r="I98" s="909" cm="1">
        <f t="array" aca="1" ref="I98" ca="1">-$C$56*_xll.d.Dates_Act365(B97,B98)*F98</f>
        <v>-277168.63451257895</v>
      </c>
      <c r="J98" s="838" t="str" cm="1">
        <f t="array" aca="1" ref="J98" ca="1">_xll.d.TestUtils_Equal(H98,I98)</f>
        <v>Ok</v>
      </c>
      <c r="K98" s="909">
        <v>-277168.63451258099</v>
      </c>
      <c r="L98" s="910">
        <v>33.184031945225541</v>
      </c>
      <c r="M98" s="945" cm="1">
        <f t="array" aca="1" ref="M98" ca="1">$M$56*_xll.d.Curve_GetDiscountFactors($K$16,B98)/_xll.d.Curve_GetDiscountFactors($G$16,B98)</f>
        <v>33.191270803788093</v>
      </c>
      <c r="N98" s="931">
        <f t="shared" ca="1" si="0"/>
        <v>7.2388585625517976E-3</v>
      </c>
      <c r="Q98" s="910"/>
      <c r="R98" s="909"/>
    </row>
    <row r="99" spans="2:18">
      <c r="B99" s="911">
        <v>48943</v>
      </c>
      <c r="C99" s="918"/>
      <c r="D99" s="913">
        <v>0.111046637464129</v>
      </c>
      <c r="E99" s="910">
        <v>-1.3066301515926599</v>
      </c>
      <c r="F99" s="914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909">
        <v>-276856.00025303499</v>
      </c>
      <c r="I99" s="909" cm="1">
        <f t="array" aca="1" ref="I99" ca="1">-$C$56*_xll.d.Dates_Act365(B98,B99)*F99</f>
        <v>-276856.00025303231</v>
      </c>
      <c r="J99" s="838" t="str" cm="1">
        <f t="array" aca="1" ref="J99" ca="1">_xll.d.TestUtils_Equal(H99,I99)</f>
        <v>Ok</v>
      </c>
      <c r="K99" s="909">
        <v>-276856.00025303499</v>
      </c>
      <c r="L99" s="910">
        <v>33.814723403525171</v>
      </c>
      <c r="M99" s="945" cm="1">
        <f t="array" aca="1" ref="M99" ca="1">$M$56*_xll.d.Curve_GetDiscountFactors($K$16,B99)/_xll.d.Curve_GetDiscountFactors($G$16,B99)</f>
        <v>33.822156926896064</v>
      </c>
      <c r="N99" s="931">
        <f t="shared" ca="1" si="0"/>
        <v>7.4335233708922033E-3</v>
      </c>
      <c r="Q99" s="910"/>
      <c r="R99" s="909"/>
    </row>
    <row r="100" spans="2:18">
      <c r="B100" s="911">
        <v>49034</v>
      </c>
      <c r="C100" s="918"/>
      <c r="D100" s="913">
        <v>0.11188292615923701</v>
      </c>
      <c r="E100" s="910">
        <v>-1.3066301515926599</v>
      </c>
      <c r="F100" s="914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909">
        <v>-278940.99398604402</v>
      </c>
      <c r="I100" s="909" cm="1">
        <f t="array" aca="1" ref="I100" ca="1">-$C$56*_xll.d.Dates_Act365(B99,B100)*F100</f>
        <v>-278940.99398604815</v>
      </c>
      <c r="J100" s="838" t="str" cm="1">
        <f t="array" aca="1" ref="J100" ca="1">_xll.d.TestUtils_Equal(H100,I100)</f>
        <v>Ok</v>
      </c>
      <c r="K100" s="909">
        <v>-278940.99398604402</v>
      </c>
      <c r="L100" s="910">
        <v>34.463423907015134</v>
      </c>
      <c r="M100" s="945" cm="1">
        <f t="array" aca="1" ref="M100" ca="1">$M$56*_xll.d.Curve_GetDiscountFactors($K$16,B100)/_xll.d.Curve_GetDiscountFactors($G$16,B100)</f>
        <v>34.471058954160064</v>
      </c>
      <c r="N100" s="931">
        <f t="shared" ca="1" si="0"/>
        <v>7.6350471449302404E-3</v>
      </c>
      <c r="Q100" s="910"/>
      <c r="R100" s="909"/>
    </row>
    <row r="101" spans="2:18">
      <c r="B101" s="911">
        <v>49125</v>
      </c>
      <c r="C101" s="918"/>
      <c r="D101" s="913">
        <v>0.112432032365107</v>
      </c>
      <c r="E101" s="910">
        <v>-1.3066301515926599</v>
      </c>
      <c r="F101" s="914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909">
        <v>-280309.998499309</v>
      </c>
      <c r="I101" s="909" cm="1">
        <f t="array" aca="1" ref="I101" ca="1">-$C$56*_xll.d.Dates_Act365(B100,B101)*F101</f>
        <v>-280309.99849930673</v>
      </c>
      <c r="J101" s="838" t="str" cm="1">
        <f t="array" aca="1" ref="J101" ca="1">_xll.d.TestUtils_Equal(H101,I101)</f>
        <v>Ok</v>
      </c>
      <c r="K101" s="909">
        <v>-280309.998499309</v>
      </c>
      <c r="L101" s="910">
        <v>35.128389716353638</v>
      </c>
      <c r="M101" s="945" cm="1">
        <f t="array" aca="1" ref="M101" ca="1">$M$56*_xll.d.Curve_GetDiscountFactors($K$16,B101)/_xll.d.Curve_GetDiscountFactors($G$16,B101)</f>
        <v>35.136232266203308</v>
      </c>
      <c r="N101" s="931">
        <f t="shared" ca="1" si="0"/>
        <v>7.842549849669922E-3</v>
      </c>
      <c r="Q101" s="910"/>
      <c r="R101" s="909"/>
    </row>
    <row r="102" spans="2:18">
      <c r="B102" s="911">
        <v>49216</v>
      </c>
      <c r="C102" s="918"/>
      <c r="D102" s="913">
        <v>0.112660419539217</v>
      </c>
      <c r="E102" s="910">
        <v>-1.3066301515926599</v>
      </c>
      <c r="F102" s="914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909">
        <v>-280879.40213886998</v>
      </c>
      <c r="I102" s="909" cm="1">
        <f t="array" aca="1" ref="I102" ca="1">-$C$56*_xll.d.Dates_Act365(B101,B102)*F102</f>
        <v>-280879.40213886544</v>
      </c>
      <c r="J102" s="838" t="str" cm="1">
        <f t="array" aca="1" ref="J102" ca="1">_xll.d.TestUtils_Equal(H102,I102)</f>
        <v>Ok</v>
      </c>
      <c r="K102" s="909">
        <v>-280879.40213886998</v>
      </c>
      <c r="L102" s="910">
        <v>35.807432275510955</v>
      </c>
      <c r="M102" s="945" cm="1">
        <f t="array" aca="1" ref="M102" ca="1">$M$56*_xll.d.Curve_GetDiscountFactors($K$16,B102)/_xll.d.Curve_GetDiscountFactors($G$16,B102)</f>
        <v>35.815487177362833</v>
      </c>
      <c r="N102" s="931">
        <f t="shared" ca="1" si="0"/>
        <v>8.0549018518780713E-3</v>
      </c>
      <c r="Q102" s="910"/>
      <c r="R102" s="909"/>
    </row>
    <row r="103" spans="2:18">
      <c r="B103" s="911">
        <v>49307</v>
      </c>
      <c r="C103" s="918"/>
      <c r="D103" s="941">
        <v>0.112531968219763</v>
      </c>
      <c r="E103" s="910">
        <v>-1.3066301515926599</v>
      </c>
      <c r="F103" s="942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909">
        <v>-280559.15364379197</v>
      </c>
      <c r="I103" s="909" cm="1">
        <f t="array" aca="1" ref="I103" ca="1">-$C$56*_xll.d.Dates_Act365(B102,B103)*F103</f>
        <v>-280559.15364379174</v>
      </c>
      <c r="J103" s="838" t="str" cm="1">
        <f t="array" aca="1" ref="J103" ca="1">_xll.d.TestUtils_Equal(H103,I103)</f>
        <v>Ok</v>
      </c>
      <c r="K103" s="909">
        <v>-280559.15364379197</v>
      </c>
      <c r="L103" s="910">
        <v>36.497857628159117</v>
      </c>
      <c r="M103" s="945" cm="1">
        <f t="array" aca="1" ref="M103" ca="1">$M$56*_xll.d.Curve_GetDiscountFactors($K$16,B103)/_xll.d.Curve_GetDiscountFactors($G$16,B103)</f>
        <v>36.506128314919714</v>
      </c>
      <c r="N103" s="931">
        <f t="shared" ca="1" si="0"/>
        <v>8.2706867605963907E-3</v>
      </c>
      <c r="Q103" s="910"/>
      <c r="R103" s="909"/>
    </row>
    <row r="104" spans="2:18">
      <c r="B104" s="911">
        <v>49398</v>
      </c>
      <c r="C104" s="909">
        <v>-10000000</v>
      </c>
      <c r="D104" s="913">
        <v>0.11200812610859601</v>
      </c>
      <c r="E104" s="910">
        <v>-1.3066301515926599</v>
      </c>
      <c r="F104" s="914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909">
        <v>-279253.13632554002</v>
      </c>
      <c r="I104" s="909" cm="1">
        <f t="array" aca="1" ref="I104" ca="1">-$C$56*_xll.d.Dates_Act365(B103,B104)*F104</f>
        <v>-279253.1363255395</v>
      </c>
      <c r="J104" s="838" t="str" cm="1">
        <f t="array" aca="1" ref="J104" ca="1">_xll.d.TestUtils_Equal(H104,I104)</f>
        <v>Ok</v>
      </c>
      <c r="K104" s="909">
        <v>-10279253.136325501</v>
      </c>
      <c r="L104" s="910">
        <v>37.196404259593756</v>
      </c>
      <c r="M104" s="945" cm="1">
        <f t="array" aca="1" ref="M104" ca="1">$M$56*_xll.d.Curve_GetDiscountFactors($K$16,B104)/_xll.d.Curve_GetDiscountFactors($G$16,B104)</f>
        <v>37.204892423434622</v>
      </c>
      <c r="N104" s="931">
        <f t="shared" ca="1" si="0"/>
        <v>8.4881638408660365E-3</v>
      </c>
      <c r="Q104" s="910"/>
      <c r="R104" s="909"/>
    </row>
    <row r="106" spans="2:18">
      <c r="M106" s="938" cm="1">
        <f t="array" aca="1" ref="M106" ca="1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 ca="1">1/K109</f>
        <v>22.271714922048996</v>
      </c>
      <c r="L110" s="920">
        <f ca="1">L57-$L$56</f>
        <v>0.10217065085208787</v>
      </c>
    </row>
    <row r="111" spans="2:18">
      <c r="L111" s="920">
        <f ca="1">L58-$L$56</f>
        <v>0.24683036236111633</v>
      </c>
    </row>
    <row r="112" spans="2:18">
      <c r="L112" s="920">
        <f ca="1">L59-$L$56</f>
        <v>0.41084039404503159</v>
      </c>
    </row>
    <row r="113" spans="10:13">
      <c r="L113" s="920">
        <f ca="1"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 ca="1">AVERAGE(L115:M115)/10000</f>
        <v>0.60439100000000001</v>
      </c>
    </row>
    <row r="119" spans="10:13">
      <c r="J119" s="439">
        <v>4.4200000000000003E-2</v>
      </c>
    </row>
    <row r="120" spans="10:13">
      <c r="J120" s="439">
        <f ca="1"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0" priority="16" stopIfTrue="1" operator="equal">
      <formula>"ERROR"</formula>
    </cfRule>
    <cfRule type="cellIs" dxfId="509" priority="17" stopIfTrue="1" operator="equal">
      <formula>"OK"</formula>
    </cfRule>
    <cfRule type="cellIs" dxfId="508" priority="18" stopIfTrue="1" operator="equal">
      <formula>"WARNING"</formula>
    </cfRule>
  </conditionalFormatting>
  <conditionalFormatting sqref="C4">
    <cfRule type="cellIs" dxfId="507" priority="13" stopIfTrue="1" operator="equal">
      <formula>"ERROR"</formula>
    </cfRule>
    <cfRule type="cellIs" dxfId="506" priority="14" stopIfTrue="1" operator="equal">
      <formula>"OK"</formula>
    </cfRule>
    <cfRule type="cellIs" dxfId="505" priority="15" stopIfTrue="1" operator="equal">
      <formula>"WARNING"</formula>
    </cfRule>
  </conditionalFormatting>
  <conditionalFormatting sqref="C12">
    <cfRule type="cellIs" dxfId="504" priority="10" stopIfTrue="1" operator="equal">
      <formula>"ERROR"</formula>
    </cfRule>
  </conditionalFormatting>
  <conditionalFormatting sqref="C12">
    <cfRule type="cellIs" dxfId="503" priority="11" stopIfTrue="1" operator="equal">
      <formula>"OK"</formula>
    </cfRule>
  </conditionalFormatting>
  <conditionalFormatting sqref="C12">
    <cfRule type="cellIs" dxfId="502" priority="12" stopIfTrue="1" operator="equal">
      <formula>"WARNING"</formula>
    </cfRule>
  </conditionalFormatting>
  <conditionalFormatting sqref="J57:J104">
    <cfRule type="cellIs" dxfId="501" priority="19" stopIfTrue="1" operator="equal">
      <formula>"ERROR"</formula>
    </cfRule>
    <cfRule type="cellIs" dxfId="500" priority="20" stopIfTrue="1" operator="equal">
      <formula>"OK"</formula>
    </cfRule>
    <cfRule type="cellIs" dxfId="499" priority="21" stopIfTrue="1" operator="equal">
      <formula>"WARNING"</formula>
    </cfRule>
  </conditionalFormatting>
  <conditionalFormatting sqref="G57:G104">
    <cfRule type="cellIs" dxfId="498" priority="22" stopIfTrue="1" operator="equal">
      <formula>"ERROR"</formula>
    </cfRule>
    <cfRule type="cellIs" dxfId="497" priority="23" stopIfTrue="1" operator="equal">
      <formula>"OK"</formula>
    </cfRule>
    <cfRule type="cellIs" dxfId="496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389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449</v>
      </c>
      <c r="C7" s="164" t="str">
        <f ca="1">C15</f>
        <v>Ok</v>
      </c>
    </row>
    <row r="8" spans="2:22">
      <c r="B8" s="480" t="s">
        <v>450</v>
      </c>
      <c r="C8" s="164" t="str">
        <f ca="1">C62</f>
        <v>Ok</v>
      </c>
      <c r="E8" s="495"/>
    </row>
    <row r="9" spans="2:22">
      <c r="B9" s="480" t="s">
        <v>456</v>
      </c>
      <c r="C9" s="164" t="str">
        <f ca="1">C76</f>
        <v>Ok</v>
      </c>
    </row>
    <row r="10" spans="2:22" s="439" customFormat="1">
      <c r="B10" s="480" t="s">
        <v>642</v>
      </c>
      <c r="C10" s="838" t="str">
        <f ca="1">C90</f>
        <v>Ok</v>
      </c>
    </row>
    <row r="13" spans="2:22" ht="18.75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_xll.d.Curve_Create("ExampleCurve",B22:C25,B29:B34,C29:C34)</f>
        <v>@@ExampleCurve::14:00:18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496" t="s">
        <v>455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642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8" t="str">
        <f ca="1">K94</f>
        <v>Ok</v>
      </c>
      <c r="D90" s="439"/>
      <c r="E90" s="439"/>
    </row>
    <row r="91" spans="2:25">
      <c r="B91" s="479" t="s">
        <v>644</v>
      </c>
      <c r="C91" s="439"/>
    </row>
    <row r="92" spans="2:25">
      <c r="B92" s="479" t="s">
        <v>645</v>
      </c>
    </row>
    <row r="93" spans="2:25">
      <c r="B93" s="832" t="s">
        <v>67</v>
      </c>
      <c r="C93" s="833"/>
      <c r="D93" s="833"/>
      <c r="E93" s="833"/>
      <c r="F93" s="833" t="s">
        <v>68</v>
      </c>
      <c r="G93" s="833"/>
      <c r="H93" s="833"/>
      <c r="I93" s="833"/>
      <c r="J93" s="833"/>
      <c r="K93" s="834" t="s">
        <v>69</v>
      </c>
    </row>
    <row r="94" spans="2:25">
      <c r="B94" s="835" t="str" cm="1">
        <f t="array" aca="1" ref="B94" ca="1">_xll.d.Curve_GetInstruments(C19)</f>
        <v>#∂Excel Error: No instruments found. Was this bootstrapped or built from discount factors directly?</v>
      </c>
      <c r="C94" s="836"/>
      <c r="D94" s="836"/>
      <c r="E94" s="836"/>
      <c r="F94" s="839" t="s">
        <v>643</v>
      </c>
      <c r="G94" s="836"/>
      <c r="H94" s="836"/>
      <c r="I94" s="836"/>
      <c r="J94" s="840"/>
      <c r="K94" s="837" t="str" cm="1">
        <f t="array" aca="1" ref="K94" ca="1">_xll.d.TestUtils_Equal(B94,F94)</f>
        <v>Ok</v>
      </c>
    </row>
  </sheetData>
  <conditionalFormatting sqref="E47:E57">
    <cfRule type="cellIs" dxfId="495" priority="43" stopIfTrue="1" operator="equal">
      <formula>"OK"</formula>
    </cfRule>
    <cfRule type="cellIs" dxfId="494" priority="44" stopIfTrue="1" operator="equal">
      <formula>"ERROR"</formula>
    </cfRule>
  </conditionalFormatting>
  <conditionalFormatting sqref="C43">
    <cfRule type="cellIs" dxfId="493" priority="41" stopIfTrue="1" operator="equal">
      <formula>"OK"</formula>
    </cfRule>
    <cfRule type="cellIs" dxfId="492" priority="42" stopIfTrue="1" operator="equal">
      <formula>"ERROR"</formula>
    </cfRule>
  </conditionalFormatting>
  <conditionalFormatting sqref="C15">
    <cfRule type="cellIs" dxfId="491" priority="45" stopIfTrue="1" operator="equal">
      <formula>"OK"</formula>
    </cfRule>
    <cfRule type="cellIs" dxfId="490" priority="46" stopIfTrue="1" operator="equal">
      <formula>"ERROR"</formula>
    </cfRule>
  </conditionalFormatting>
  <conditionalFormatting sqref="E67:E71">
    <cfRule type="cellIs" dxfId="489" priority="39" stopIfTrue="1" operator="equal">
      <formula>"OK"</formula>
    </cfRule>
    <cfRule type="cellIs" dxfId="488" priority="40" stopIfTrue="1" operator="equal">
      <formula>"ERROR"</formula>
    </cfRule>
  </conditionalFormatting>
  <conditionalFormatting sqref="S67:S71">
    <cfRule type="cellIs" dxfId="487" priority="37" stopIfTrue="1" operator="equal">
      <formula>"OK"</formula>
    </cfRule>
    <cfRule type="cellIs" dxfId="486" priority="38" stopIfTrue="1" operator="equal">
      <formula>"ERROR"</formula>
    </cfRule>
  </conditionalFormatting>
  <conditionalFormatting sqref="P67:P71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M47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C7">
    <cfRule type="cellIs" dxfId="481" priority="47" stopIfTrue="1" operator="equal">
      <formula>"ERROR"</formula>
    </cfRule>
    <cfRule type="cellIs" dxfId="480" priority="48" stopIfTrue="1" operator="equal">
      <formula>"OK"</formula>
    </cfRule>
    <cfRule type="cellIs" dxfId="479" priority="49" stopIfTrue="1" operator="equal">
      <formula>"WARNING"</formula>
    </cfRule>
  </conditionalFormatting>
  <conditionalFormatting sqref="H43">
    <cfRule type="cellIs" dxfId="478" priority="31" stopIfTrue="1" operator="equal">
      <formula>"OK"</formula>
    </cfRule>
    <cfRule type="cellIs" dxfId="477" priority="32" stopIfTrue="1" operator="equal">
      <formula>"ERROR"</formula>
    </cfRule>
  </conditionalFormatting>
  <conditionalFormatting sqref="I67:I71">
    <cfRule type="cellIs" dxfId="476" priority="29" stopIfTrue="1" operator="equal">
      <formula>"OK"</formula>
    </cfRule>
    <cfRule type="cellIs" dxfId="475" priority="30" stopIfTrue="1" operator="equal">
      <formula>"ERROR"</formula>
    </cfRule>
  </conditionalFormatting>
  <conditionalFormatting sqref="C62">
    <cfRule type="cellIs" dxfId="474" priority="27" stopIfTrue="1" operator="equal">
      <formula>"OK"</formula>
    </cfRule>
    <cfRule type="cellIs" dxfId="473" priority="28" stopIfTrue="1" operator="equal">
      <formula>"ERROR"</formula>
    </cfRule>
  </conditionalFormatting>
  <conditionalFormatting sqref="M67:M71">
    <cfRule type="cellIs" dxfId="472" priority="25" stopIfTrue="1" operator="equal">
      <formula>"OK"</formula>
    </cfRule>
    <cfRule type="cellIs" dxfId="471" priority="26" stopIfTrue="1" operator="equal">
      <formula>"ERROR"</formula>
    </cfRule>
  </conditionalFormatting>
  <conditionalFormatting sqref="V67:V71">
    <cfRule type="cellIs" dxfId="470" priority="23" stopIfTrue="1" operator="equal">
      <formula>"OK"</formula>
    </cfRule>
    <cfRule type="cellIs" dxfId="469" priority="24" stopIfTrue="1" operator="equal">
      <formula>"ERROR"</formula>
    </cfRule>
  </conditionalFormatting>
  <conditionalFormatting sqref="C8">
    <cfRule type="cellIs" dxfId="468" priority="50" stopIfTrue="1" operator="equal">
      <formula>"ERROR"</formula>
    </cfRule>
    <cfRule type="cellIs" dxfId="467" priority="51" stopIfTrue="1" operator="equal">
      <formula>"OK"</formula>
    </cfRule>
    <cfRule type="cellIs" dxfId="466" priority="52" stopIfTrue="1" operator="equal">
      <formula>"WARNING"</formula>
    </cfRule>
  </conditionalFormatting>
  <conditionalFormatting sqref="C4">
    <cfRule type="cellIs" dxfId="465" priority="21" stopIfTrue="1" operator="equal">
      <formula>"OK"</formula>
    </cfRule>
    <cfRule type="cellIs" dxfId="464" priority="22" stopIfTrue="1" operator="equal">
      <formula>"ERROR"</formula>
    </cfRule>
  </conditionalFormatting>
  <conditionalFormatting sqref="I81:I85">
    <cfRule type="cellIs" dxfId="463" priority="19" stopIfTrue="1" operator="equal">
      <formula>"OK"</formula>
    </cfRule>
    <cfRule type="cellIs" dxfId="462" priority="20" stopIfTrue="1" operator="equal">
      <formula>"ERROR"</formula>
    </cfRule>
  </conditionalFormatting>
  <conditionalFormatting sqref="V81:V85">
    <cfRule type="cellIs" dxfId="461" priority="17" stopIfTrue="1" operator="equal">
      <formula>"OK"</formula>
    </cfRule>
    <cfRule type="cellIs" dxfId="460" priority="18" stopIfTrue="1" operator="equal">
      <formula>"ERROR"</formula>
    </cfRule>
  </conditionalFormatting>
  <conditionalFormatting sqref="S81:S85">
    <cfRule type="cellIs" dxfId="459" priority="15" stopIfTrue="1" operator="equal">
      <formula>"OK"</formula>
    </cfRule>
    <cfRule type="cellIs" dxfId="458" priority="16" stopIfTrue="1" operator="equal">
      <formula>"ERROR"</formula>
    </cfRule>
  </conditionalFormatting>
  <conditionalFormatting sqref="M81:M85">
    <cfRule type="cellIs" dxfId="457" priority="13" stopIfTrue="1" operator="equal">
      <formula>"OK"</formula>
    </cfRule>
    <cfRule type="cellIs" dxfId="456" priority="14" stopIfTrue="1" operator="equal">
      <formula>"ERROR"</formula>
    </cfRule>
  </conditionalFormatting>
  <conditionalFormatting sqref="C76">
    <cfRule type="cellIs" dxfId="455" priority="11" stopIfTrue="1" operator="equal">
      <formula>"OK"</formula>
    </cfRule>
    <cfRule type="cellIs" dxfId="454" priority="12" stopIfTrue="1" operator="equal">
      <formula>"ERROR"</formula>
    </cfRule>
  </conditionalFormatting>
  <conditionalFormatting sqref="P81:P85">
    <cfRule type="cellIs" dxfId="453" priority="9" stopIfTrue="1" operator="equal">
      <formula>"OK"</formula>
    </cfRule>
    <cfRule type="cellIs" dxfId="452" priority="10" stopIfTrue="1" operator="equal">
      <formula>"ERROR"</formula>
    </cfRule>
  </conditionalFormatting>
  <conditionalFormatting sqref="Y81:Y85">
    <cfRule type="cellIs" dxfId="451" priority="7" stopIfTrue="1" operator="equal">
      <formula>"OK"</formula>
    </cfRule>
    <cfRule type="cellIs" dxfId="450" priority="8" stopIfTrue="1" operator="equal">
      <formula>"ERROR"</formula>
    </cfRule>
  </conditionalFormatting>
  <conditionalFormatting sqref="C9:C10">
    <cfRule type="cellIs" dxfId="449" priority="53" stopIfTrue="1" operator="equal">
      <formula>"ERROR"</formula>
    </cfRule>
    <cfRule type="cellIs" dxfId="448" priority="54" stopIfTrue="1" operator="equal">
      <formula>"OK"</formula>
    </cfRule>
    <cfRule type="cellIs" dxfId="447" priority="55" stopIfTrue="1" operator="equal">
      <formula>"WARNING"</formula>
    </cfRule>
  </conditionalFormatting>
  <conditionalFormatting sqref="C39">
    <cfRule type="cellIs" dxfId="446" priority="5" stopIfTrue="1" operator="equal">
      <formula>"OK"</formula>
    </cfRule>
    <cfRule type="cellIs" dxfId="445" priority="6" stopIfTrue="1" operator="equal">
      <formula>"ERROR"</formula>
    </cfRule>
  </conditionalFormatting>
  <conditionalFormatting sqref="C90">
    <cfRule type="cellIs" dxfId="444" priority="3" stopIfTrue="1" operator="equal">
      <formula>"OK"</formula>
    </cfRule>
    <cfRule type="cellIs" dxfId="443" priority="4" stopIfTrue="1" operator="equal">
      <formula>"ERROR"</formula>
    </cfRule>
  </conditionalFormatting>
  <conditionalFormatting sqref="K94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86"/>
  <sheetViews>
    <sheetView showGridLines="0" tabSelected="1" topLeftCell="BL9" zoomScale="85" zoomScaleNormal="85" workbookViewId="0">
      <selection activeCell="BS33" sqref="BS33:BV39"/>
    </sheetView>
  </sheetViews>
  <sheetFormatPr defaultRowHeight="1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389</v>
      </c>
    </row>
    <row r="2" spans="2:112" ht="26.25">
      <c r="B2" s="2" t="s">
        <v>650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Error</v>
      </c>
      <c r="K6" s="203"/>
      <c r="L6" s="204"/>
    </row>
    <row r="7" spans="2:112">
      <c r="K7" s="203"/>
      <c r="L7" s="204"/>
    </row>
    <row r="8" spans="2:112" s="439" customFormat="1" ht="15.75">
      <c r="B8" s="4" t="s">
        <v>651</v>
      </c>
      <c r="C8" s="4"/>
      <c r="D8" s="4"/>
      <c r="F8" s="4" t="s">
        <v>652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646</v>
      </c>
      <c r="C11" s="202"/>
      <c r="D11" s="164" t="str">
        <f ca="1">C61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642</v>
      </c>
      <c r="C12" s="415"/>
      <c r="D12" s="300" t="str">
        <f ca="1">C89</f>
        <v>Ok</v>
      </c>
      <c r="F12" s="407" t="str">
        <f>B22</f>
        <v>Flat Curve, 3m JIBAR</v>
      </c>
      <c r="G12" s="202"/>
      <c r="H12" s="164" t="str">
        <f ca="1">C24</f>
        <v>Error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587</v>
      </c>
      <c r="G13" s="202"/>
      <c r="H13" s="164" t="str">
        <f ca="1">N24</f>
        <v>Error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Error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8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638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492</v>
      </c>
      <c r="BO22" s="789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_xll.d.TestUtils_And(J26:J31,J52:J53)</f>
        <v>Error</v>
      </c>
      <c r="G24" s="231" t="s">
        <v>211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Error</v>
      </c>
      <c r="V24" s="740"/>
      <c r="W24" s="121" t="s">
        <v>492</v>
      </c>
      <c r="X24" s="789">
        <v>1E-4</v>
      </c>
      <c r="Y24" s="740"/>
      <c r="Z24" s="740"/>
      <c r="AA24" s="203"/>
      <c r="AB24" s="204"/>
      <c r="AC24" s="50" t="s">
        <v>108</v>
      </c>
      <c r="AD24" s="164" t="str" cm="1">
        <f t="array" aca="1" ref="AD24" ca="1">_xll.d.TestUtils_And(AK26:AK32,AK51:AK56,AP26:AP47)</f>
        <v>Error</v>
      </c>
      <c r="AH24" s="121" t="s">
        <v>211</v>
      </c>
      <c r="AI24" s="192"/>
      <c r="AJ24" s="192"/>
      <c r="AK24" s="122"/>
      <c r="AM24" s="121" t="s">
        <v>31</v>
      </c>
      <c r="AN24" s="756" t="s">
        <v>2</v>
      </c>
      <c r="AO24" s="757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Error</v>
      </c>
      <c r="AX24" s="121" t="s">
        <v>211</v>
      </c>
      <c r="AY24" s="192"/>
      <c r="AZ24" s="192"/>
      <c r="BA24" s="122"/>
      <c r="BC24" s="121" t="s">
        <v>31</v>
      </c>
      <c r="BD24" s="756" t="s">
        <v>2</v>
      </c>
      <c r="BE24" s="757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8" t="s">
        <v>211</v>
      </c>
      <c r="BO24" s="829"/>
      <c r="BP24" s="829"/>
      <c r="BQ24" s="830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40"/>
      <c r="W25" s="740"/>
      <c r="X25" s="740"/>
      <c r="Y25" s="740"/>
      <c r="Z25" s="740"/>
      <c r="AA25" s="203"/>
      <c r="AB25" s="204"/>
      <c r="AH25" s="765" t="s">
        <v>31</v>
      </c>
      <c r="AI25" s="766" t="s">
        <v>38</v>
      </c>
      <c r="AJ25" s="766" t="s">
        <v>39</v>
      </c>
      <c r="AK25" s="767" t="s">
        <v>9</v>
      </c>
      <c r="AM25" s="754"/>
      <c r="AN25" s="748" t="s">
        <v>603</v>
      </c>
      <c r="AO25" s="44" t="s">
        <v>604</v>
      </c>
      <c r="AP25" s="755"/>
      <c r="AQ25" s="203"/>
      <c r="AR25" s="204"/>
      <c r="AX25" s="765" t="s">
        <v>31</v>
      </c>
      <c r="AY25" s="766" t="s">
        <v>38</v>
      </c>
      <c r="AZ25" s="766" t="s">
        <v>39</v>
      </c>
      <c r="BA25" s="767" t="s">
        <v>9</v>
      </c>
      <c r="BC25" s="754"/>
      <c r="BD25" s="748" t="s">
        <v>603</v>
      </c>
      <c r="BE25" s="44" t="s">
        <v>604</v>
      </c>
      <c r="BF25" s="755"/>
      <c r="BG25" s="54"/>
      <c r="BL25" s="54"/>
      <c r="BN25" s="765" t="s">
        <v>31</v>
      </c>
      <c r="BO25" s="766" t="s">
        <v>38</v>
      </c>
      <c r="BP25" s="766" t="s">
        <v>39</v>
      </c>
      <c r="BQ25" s="767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211</v>
      </c>
      <c r="S26" s="232"/>
      <c r="T26" s="232"/>
      <c r="U26" s="233"/>
      <c r="V26" s="740"/>
      <c r="W26" s="121" t="s">
        <v>31</v>
      </c>
      <c r="X26" s="756" t="s">
        <v>2</v>
      </c>
      <c r="Y26" s="757"/>
      <c r="Z26" s="122" t="s">
        <v>69</v>
      </c>
      <c r="AA26" s="203"/>
      <c r="AB26" s="204"/>
      <c r="AH26" s="768">
        <f>AD32</f>
        <v>43921</v>
      </c>
      <c r="AI26" s="738">
        <v>1</v>
      </c>
      <c r="AJ26" s="738" cm="1">
        <f t="array" aca="1" ref="AJ26" ca="1">_xll.d.Curve_GetDiscountFactors($AE$27,AH26)</f>
        <v>1</v>
      </c>
      <c r="AK26" s="769" t="str" cm="1">
        <f t="array" aca="1" ref="AK26" ca="1">_xll.d.TestUtils_Equal(AI26,AJ26,0.001)</f>
        <v>Ok</v>
      </c>
      <c r="AM26" s="780">
        <v>43923</v>
      </c>
      <c r="AN26" s="781">
        <v>1</v>
      </c>
      <c r="AO26" s="782" cm="1">
        <f t="array" aca="1" ref="AO26" ca="1">_xll.d.Curve_GetDiscountFactors($AE$27,AM26)</f>
        <v>0.999995833404974</v>
      </c>
      <c r="AP26" s="747" t="str" cm="1">
        <f t="array" aca="1" ref="AP26" ca="1">_xll.d.TestUtils_Equal(AN26,AO26,0.0001)</f>
        <v>Ok</v>
      </c>
      <c r="AQ26" s="203"/>
      <c r="AR26" s="204"/>
      <c r="AX26" s="816">
        <f>AT32</f>
        <v>44651</v>
      </c>
      <c r="AY26" s="817">
        <v>1</v>
      </c>
      <c r="AZ26" s="817" cm="1">
        <f t="array" aca="1" ref="AZ26:AZ32" ca="1">_xll.d.Curve_GetDiscountFactors(AU27,AX26:AX32)</f>
        <v>1</v>
      </c>
      <c r="BA26" s="818" t="str" cm="1">
        <f t="array" aca="1" ref="BA26" ca="1">_xll.d.TestUtils_Equal(AY26,AZ26,0.001)</f>
        <v>Ok</v>
      </c>
      <c r="BC26" s="780">
        <v>44655</v>
      </c>
      <c r="BD26" s="781">
        <v>0.99996333417359595</v>
      </c>
      <c r="BE26" s="782" cm="1">
        <f t="array" aca="1" ref="BE26:BE47" ca="1">_xll.d.Curve_GetDiscountFactors(AU27,BC26:BC47)</f>
        <v>0.99996233814505087</v>
      </c>
      <c r="BF26" s="747" t="str" cm="1">
        <f t="array" aca="1" ref="BF26" ca="1">_xll.d.TestUtils_Equal(BD26,BE26,0.001)</f>
        <v>Ok</v>
      </c>
      <c r="BG26" s="54"/>
      <c r="BL26" s="54"/>
      <c r="BN26" s="823">
        <f>BI32</f>
        <v>44651</v>
      </c>
      <c r="BO26" s="733">
        <v>1</v>
      </c>
      <c r="BP26" s="733" cm="1">
        <f t="array" aca="1" ref="BP26" ca="1">_xll.d.Curve_GetDiscountFactors($BJ$27,BN26)</f>
        <v>1</v>
      </c>
      <c r="BQ26" s="824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aca="1" ref="D27" ca="1">_xll.d.Curve_Bootstrap("ZARFlatCurve",B30:C35,,B38:D42,B44:D48,B50:D53)</f>
        <v>@@ZARFlatCurve::10:21:27</v>
      </c>
      <c r="E27" s="209"/>
      <c r="G27" s="229">
        <f>EDATE(G26,1)</f>
        <v>44743</v>
      </c>
      <c r="H27" s="239">
        <f>1/(1+YEARFRAC($G$26,G27,3)*C40)</f>
        <v>0.99184782608695643</v>
      </c>
      <c r="I27" s="239" cm="1">
        <f t="array" aca="1" ref="I27" ca="1">_xll.d.Curve_GetDiscountFactors($D$27,G27)</f>
        <v>0.99184782608695654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aca="1" ref="O27" ca="1">_xll.d.Curve_Bootstrap("ZARRealCurve",M30:N35,,M38:O42,M44:O52,M54:O61)</f>
        <v>@@ZARRealCurve::10:21:27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40"/>
      <c r="W27" s="754"/>
      <c r="X27" s="748" t="s">
        <v>603</v>
      </c>
      <c r="Y27" s="44" t="s">
        <v>604</v>
      </c>
      <c r="Z27" s="755"/>
      <c r="AA27" s="203"/>
      <c r="AB27" s="204"/>
      <c r="AC27" s="56" t="s">
        <v>37</v>
      </c>
      <c r="AD27" s="56"/>
      <c r="AE27" s="208" t="str" cm="1">
        <f t="array" aca="1" ref="AE27" ca="1">_xll.d.Curve_Bootstrap("USDOIS",AC30:AD35,,AC38:AE40,AC42:AE63)</f>
        <v>@@USDOIS::10:21:27</v>
      </c>
      <c r="AF27" s="209"/>
      <c r="AH27" s="770">
        <f ca="1">EDATE(AF31,1)</f>
        <v>43953</v>
      </c>
      <c r="AI27" s="739" cm="1">
        <f t="array" aca="1" ref="AI27" ca="1">1/(1+AD44*_xll.d.Dates_Act360($AH$26,AH27))</f>
        <v>0.99993778164914182</v>
      </c>
      <c r="AJ27" s="739" cm="1">
        <f t="array" aca="1" ref="AJ27" ca="1">_xll.d.Curve_GetDiscountFactors($AE$27,AH27)</f>
        <v>0.99993750383066682</v>
      </c>
      <c r="AK27" s="771" t="str" cm="1">
        <f t="array" aca="1" ref="AK27" ca="1">_xll.d.TestUtils_Equal(AI27,AJ27,0.001)</f>
        <v>Ok</v>
      </c>
      <c r="AM27" s="783">
        <v>43924</v>
      </c>
      <c r="AN27" s="761">
        <v>0.99999777778271604</v>
      </c>
      <c r="AO27" s="784" cm="1">
        <f t="array" aca="1" ref="AO27" ca="1">_xll.d.Curve_GetDiscountFactors($AE$27,AM27)</f>
        <v>0.99999388903101261</v>
      </c>
      <c r="AP27" s="749" t="str" cm="1">
        <f t="array" aca="1" ref="AP27" ca="1">_xll.d.TestUtils_Equal(AN27,AO27,0.0001)</f>
        <v>Ok</v>
      </c>
      <c r="AQ27" s="203"/>
      <c r="AR27" s="204"/>
      <c r="AS27" s="56" t="s">
        <v>37</v>
      </c>
      <c r="AT27" s="56"/>
      <c r="AU27" s="208" t="str" cm="1">
        <f t="array" aca="1" ref="AU27" ca="1">_xll.d.Curve_Bootstrap("USDOIS-Dual",AS30:AT35,,AS38:AU40,AS42:AU63)</f>
        <v>@@USDOIS-Dual::10:21:29</v>
      </c>
      <c r="AV27" s="209"/>
      <c r="AX27" s="770">
        <f ca="1">EDATE(AV31,1)</f>
        <v>44685</v>
      </c>
      <c r="AY27" s="739" cm="1">
        <f t="array" aca="1" ref="AY27" ca="1">1/(1+AT44*_xll.d.Dates_Act360($AX$26,AX27))</f>
        <v>0.99967710429531254</v>
      </c>
      <c r="AZ27" s="739">
        <f ca="1"/>
        <v>0.99967743007747878</v>
      </c>
      <c r="BA27" s="818" t="str" cm="1">
        <f t="array" aca="1" ref="BA27" ca="1">_xll.d.TestUtils_Equal(AY27,AZ27,0.001)</f>
        <v>Ok</v>
      </c>
      <c r="BC27" s="783">
        <v>44656</v>
      </c>
      <c r="BD27" s="761">
        <v>0.9999541679270566</v>
      </c>
      <c r="BE27" s="784">
        <f ca="1"/>
        <v>0.99995283990139072</v>
      </c>
      <c r="BF27" s="747" t="str" cm="1">
        <f t="array" aca="1" ref="BF27" ca="1">_xll.d.TestUtils_Equal(BD27,BE27,0.001)</f>
        <v>Ok</v>
      </c>
      <c r="BG27" s="54"/>
      <c r="BH27" s="56" t="s">
        <v>37</v>
      </c>
      <c r="BI27" s="56"/>
      <c r="BJ27" s="208" t="str" cm="1">
        <f t="array" aca="1" ref="BJ27" ca="1">_xll.d.Curve_Bootstrap("USDSwap-Dual",BH30:BI36,,BH38:BJ42,BH44:BJ51,BH54:BJ68)</f>
        <v>@@USDSwap-Dual::10:21:33</v>
      </c>
      <c r="BK27" s="209"/>
      <c r="BL27" s="54"/>
      <c r="BN27" s="825" cm="1">
        <f t="array" aca="1" ref="BN27" ca="1">_xll.d.Dates_AddTenorToDate($BI$32,BH40,"USD","ModFol")</f>
        <v>44652</v>
      </c>
      <c r="BO27" s="731" cm="1">
        <f t="array" aca="1" ref="BO27" ca="1">1/(1+_xll.d.Dates_Act360($BN$26,BN27)*BI40)</f>
        <v>0.99999078591823332</v>
      </c>
      <c r="BP27" s="731" cm="1">
        <f t="array" aca="1" ref="BP27" ca="1">_xll.d.Curve_GetDiscountFactors($BJ$27,BN27)</f>
        <v>0.99999078591823343</v>
      </c>
      <c r="BQ27" s="824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229">
        <f>EDATE(G26,2)</f>
        <v>44774</v>
      </c>
      <c r="H28" s="239">
        <f>1/(1+YEARFRAC($G$26,G28,3)*C41)</f>
        <v>0.98356238210724867</v>
      </c>
      <c r="I28" s="239" cm="1">
        <f t="array" aca="1" ref="I28" ca="1">_xll.d.Curve_GetDiscountFactors($D$27,G28)</f>
        <v>0.98356238210724867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3">
        <v>1</v>
      </c>
      <c r="T28" s="733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0"/>
      <c r="W28" s="751">
        <v>43861</v>
      </c>
      <c r="X28" s="758">
        <v>1</v>
      </c>
      <c r="Y28" s="759" cm="1">
        <f t="array" aca="1" ref="Y28" ca="1">_xll.d.Curve_GetDiscountFactors($O$27,W28)</f>
        <v>1</v>
      </c>
      <c r="Z28" s="747" t="str" cm="1">
        <f t="array" aca="1" ref="Z28" ca="1">_xll.d.TestUtils_Equal(X28,Y28,$X$24)</f>
        <v>Ok</v>
      </c>
      <c r="AA28" s="203"/>
      <c r="AB28" s="204"/>
      <c r="AH28" s="770">
        <f ca="1">EDATE(AH27,1)</f>
        <v>43984</v>
      </c>
      <c r="AI28" s="739" cm="1">
        <f t="array" aca="1" ref="AI28" ca="1">1/(1+AD45*_xll.d.Dates_Act360($AH$26,AH28))</f>
        <v>0.99987576543614454</v>
      </c>
      <c r="AJ28" s="739" cm="1">
        <f t="array" aca="1" ref="AJ28" ca="1">_xll.d.Curve_GetDiscountFactors($AE$27,AH28)</f>
        <v>0.99987554282230839</v>
      </c>
      <c r="AK28" s="771" t="str" cm="1">
        <f t="array" aca="1" ref="AK28" ca="1">_xll.d.TestUtils_Equal(AI28,AJ28,0.001)</f>
        <v>Ok</v>
      </c>
      <c r="AM28" s="783">
        <v>43955</v>
      </c>
      <c r="AN28" s="761">
        <v>0.99993778164914182</v>
      </c>
      <c r="AO28" s="784" cm="1">
        <f t="array" aca="1" ref="AO28" ca="1">_xll.d.Curve_GetDiscountFactors($AE$27,AM28)</f>
        <v>0.99993361531335445</v>
      </c>
      <c r="AP28" s="749" t="str" cm="1">
        <f t="array" aca="1" ref="AP28" ca="1">_xll.d.TestUtils_Equal(AN28,AO28,0.0001)</f>
        <v>Ok</v>
      </c>
      <c r="AQ28" s="203"/>
      <c r="AR28" s="204"/>
      <c r="AX28" s="770">
        <f ca="1">EDATE(AX27,1)</f>
        <v>44716</v>
      </c>
      <c r="AY28" s="739" cm="1">
        <f t="array" aca="1" ref="AY28" ca="1">1/(1+AT45*_xll.d.Dates_Act360($AX$26,AX28))</f>
        <v>0.99898090073390411</v>
      </c>
      <c r="AZ28" s="739">
        <f ca="1"/>
        <v>0.99901718357838576</v>
      </c>
      <c r="BA28" s="818" t="str" cm="1">
        <f t="array" aca="1" ref="BA28" ca="1">_xll.d.TestUtils_Equal(AY28,AZ28,0.001)</f>
        <v>Ok</v>
      </c>
      <c r="BC28" s="783">
        <v>44685</v>
      </c>
      <c r="BD28" s="761">
        <v>0.99967709816278005</v>
      </c>
      <c r="BE28" s="784">
        <f ca="1"/>
        <v>0.99967743007747889</v>
      </c>
      <c r="BF28" s="747" t="str" cm="1">
        <f t="array" aca="1" ref="BF28" ca="1">_xll.d.TestUtils_Equal(BD28,BE28,0.001)</f>
        <v>Ok</v>
      </c>
      <c r="BG28" s="54"/>
      <c r="BL28" s="54"/>
      <c r="BN28" s="825" cm="1">
        <f t="array" aca="1" ref="BN28" ca="1">_xll.d.Dates_AddTenorToDate($BI$32,BH41,"USD","ModFol")</f>
        <v>44680</v>
      </c>
      <c r="BO28" s="731" cm="1">
        <f t="array" aca="1" ref="BO28" ca="1">1/(1+_xll.d.Dates_Act360($BN$26,BN28)*BI41)</f>
        <v>0.99963602141753505</v>
      </c>
      <c r="BP28" s="731" cm="1">
        <f t="array" aca="1" ref="BP28" ca="1">_xll.d.Curve_GetDiscountFactors($BJ$27,BN28)</f>
        <v>0.99964995069796314</v>
      </c>
      <c r="BQ28" s="824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G29" s="229">
        <f>EDATE(G26,3)</f>
        <v>44805</v>
      </c>
      <c r="H29" s="239">
        <f>1/(1+YEARFRAC($G$26,G29,3)*C42)</f>
        <v>0.97541421699625863</v>
      </c>
      <c r="I29" s="239" cm="1">
        <f t="array" aca="1" ref="I29" ca="1">_xll.d.Curve_GetDiscountFactors($D$27,G29)</f>
        <v>0.97541421699625863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1" cm="1">
        <f t="array" aca="1" ref="S29" ca="1">1/(1+_xll.d.Dates_Act365($R$28,R29)*N40)</f>
        <v>0.99982802957891237</v>
      </c>
      <c r="T29" s="731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0"/>
      <c r="W29" s="752">
        <v>43864</v>
      </c>
      <c r="X29" s="760">
        <v>0.99948429439882203</v>
      </c>
      <c r="Y29" s="761" cm="1">
        <f t="array" aca="1" ref="Y29" ca="1">_xll.d.Curve_GetDiscountFactors($O$27,W29)</f>
        <v>0.9994842661186828</v>
      </c>
      <c r="Z29" s="747" t="str" cm="1">
        <f t="array" aca="1" ref="Z29" ca="1">_xll.d.TestUtils_Equal(X29,Y29,$X$24)</f>
        <v>Ok</v>
      </c>
      <c r="AA29" s="203"/>
      <c r="AB29" s="204"/>
      <c r="AH29" s="770">
        <f ca="1">EDATE(AH28,1)</f>
        <v>44014</v>
      </c>
      <c r="AI29" s="739" cm="1">
        <f t="array" aca="1" ref="AI29" ca="1">1/(1+AD46*_xll.d.Dates_Act360($AH$26,AH29))</f>
        <v>0.99982436418669129</v>
      </c>
      <c r="AJ29" s="739" cm="1">
        <f t="array" aca="1" ref="AJ29" ca="1">_xll.d.Curve_GetDiscountFactors($AE$27,AH29)</f>
        <v>0.99982397477286578</v>
      </c>
      <c r="AK29" s="771" t="str" cm="1">
        <f t="array" aca="1" ref="AK29" ca="1">_xll.d.TestUtils_Equal(AI29,AJ29,0.001)</f>
        <v>Ok</v>
      </c>
      <c r="AM29" s="783">
        <v>43984</v>
      </c>
      <c r="AN29" s="761">
        <v>0.99987970891612998</v>
      </c>
      <c r="AO29" s="784" cm="1">
        <f t="array" aca="1" ref="AO29" ca="1">_xll.d.Curve_GetDiscountFactors($AE$27,AM29)</f>
        <v>0.99987554282230828</v>
      </c>
      <c r="AP29" s="749" t="str" cm="1">
        <f t="array" aca="1" ref="AP29" ca="1">_xll.d.TestUtils_Equal(AN29,AO29,0.0001)</f>
        <v>Ok</v>
      </c>
      <c r="AQ29" s="203"/>
      <c r="AR29" s="204"/>
      <c r="AX29" s="770">
        <f ca="1">EDATE(AX28,1)</f>
        <v>44746</v>
      </c>
      <c r="AY29" s="739" cm="1">
        <f t="array" aca="1" ref="AY29" ca="1">1/(1+AT46*_xll.d.Dates_Act360($AX$26,AX29))</f>
        <v>0.99810886096094031</v>
      </c>
      <c r="AZ29" s="739">
        <f ca="1"/>
        <v>0.9981599609204802</v>
      </c>
      <c r="BA29" s="818" t="str" cm="1">
        <f t="array" aca="1" ref="BA29" ca="1">_xll.d.TestUtils_Equal(AY29,AZ29,0.001)</f>
        <v>Ok</v>
      </c>
      <c r="BC29" s="783">
        <v>44718</v>
      </c>
      <c r="BD29" s="761">
        <v>0.99894954384460399</v>
      </c>
      <c r="BE29" s="784">
        <f ca="1"/>
        <v>0.99897460200731614</v>
      </c>
      <c r="BF29" s="747" t="str" cm="1">
        <f t="array" aca="1" ref="BF29" ca="1">_xll.d.TestUtils_Equal(BD29,BE29,0.001)</f>
        <v>Ok</v>
      </c>
      <c r="BG29" s="54"/>
      <c r="BL29" s="54"/>
      <c r="BM29" s="735"/>
      <c r="BN29" s="825" cm="1">
        <f t="array" aca="1" ref="BN29" ca="1">_xll.d.Dates_AddTenorToDate($BI$32,BH42,"USD","ModFol")</f>
        <v>44742</v>
      </c>
      <c r="BO29" s="731" cm="1">
        <f t="array" aca="1" ref="BO29" ca="1">1/(1+_xll.d.Dates_Act360($BN$26,BN29)*BI42)</f>
        <v>0.99757525838473171</v>
      </c>
      <c r="BP29" s="731" cm="1">
        <f t="array" aca="1" ref="BP29" ca="1">_xll.d.Curve_GetDiscountFactors($BJ$27,BN29)</f>
        <v>0.99767266761427376</v>
      </c>
      <c r="BQ29" s="824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29">
        <f>EDATE(G26,6)</f>
        <v>44896</v>
      </c>
      <c r="H30" s="239">
        <f>H29*1/(1+YEARFRAC($G$29,G30,3)*C46)</f>
        <v>0.95168722053898536</v>
      </c>
      <c r="I30" s="239" cm="1">
        <f t="array" aca="1" ref="I30" ca="1">_xll.d.Curve_GetDiscountFactors($D$27,G30)</f>
        <v>0.95168722053898525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aca="1" ref="R30" ca="1">_xll.d.Dates_AddTenorToDate($N$32,M41,"ZAR","ModFol")</f>
        <v>43889</v>
      </c>
      <c r="S30" s="731" cm="1">
        <f t="array" aca="1" ref="S30" ca="1">1/(1+_xll.d.Dates_Act365($R$28,R30)*N41)</f>
        <v>0.99512731140810684</v>
      </c>
      <c r="T30" s="731" cm="1">
        <f t="array" aca="1" ref="T30" ca="1">_xll.d.Curve_GetDiscountFactors($O$27,R30)</f>
        <v>0.99512731140810673</v>
      </c>
      <c r="U30" s="221" t="str" cm="1">
        <f t="array" aca="1" ref="U30" ca="1">_xll.d.TestUtils_Equal(S30,T30,0.00001)</f>
        <v>Ok</v>
      </c>
      <c r="V30" s="740"/>
      <c r="W30" s="752">
        <v>43892</v>
      </c>
      <c r="X30" s="760">
        <v>0.99460805260486285</v>
      </c>
      <c r="Y30" s="761" cm="1">
        <f t="array" aca="1" ref="Y30" ca="1">_xll.d.Curve_GetDiscountFactors($O$27,W30)</f>
        <v>0.99459025791532141</v>
      </c>
      <c r="Z30" s="747" t="str" cm="1">
        <f t="array" aca="1" ref="Z30" ca="1">_xll.d.TestUtils_Equal(X30,Y30,$X$24)</f>
        <v>Ok</v>
      </c>
      <c r="AA30" s="203"/>
      <c r="AB30" s="204"/>
      <c r="AC30" s="12" t="s">
        <v>48</v>
      </c>
      <c r="AD30" s="13"/>
      <c r="AF30" s="12" t="s">
        <v>614</v>
      </c>
      <c r="AH30" s="770">
        <f ca="1">EDATE(AH29,1)</f>
        <v>44045</v>
      </c>
      <c r="AI30" s="739" cm="1">
        <f t="array" aca="1" ref="AI30" ca="1">1/(1+AD47*_xll.d.Dates_Act360($AH$26,AH30))</f>
        <v>0.99976927546831706</v>
      </c>
      <c r="AJ30" s="739" cm="1">
        <f t="array" aca="1" ref="AJ30" ca="1">_xll.d.Curve_GetDiscountFactors($AE$27,AH30)</f>
        <v>0.99976875143010868</v>
      </c>
      <c r="AK30" s="771" t="str" cm="1">
        <f t="array" aca="1" ref="AK30" ca="1">_xll.d.TestUtils_Equal(AI30,AJ30,0.001)</f>
        <v>Ok</v>
      </c>
      <c r="AM30" s="783">
        <v>44014</v>
      </c>
      <c r="AN30" s="761">
        <v>0.99982814065182357</v>
      </c>
      <c r="AO30" s="784" cm="1">
        <f t="array" aca="1" ref="AO30" ca="1">_xll.d.Curve_GetDiscountFactors($AE$27,AM30)</f>
        <v>0.99982397477286578</v>
      </c>
      <c r="AP30" s="749" t="str" cm="1">
        <f t="array" aca="1" ref="AP30" ca="1">_xll.d.TestUtils_Equal(AN30,AO30,0.0001)</f>
        <v>Ok</v>
      </c>
      <c r="AQ30" s="203"/>
      <c r="AR30" s="204"/>
      <c r="AS30" s="12" t="s">
        <v>48</v>
      </c>
      <c r="AT30" s="13"/>
      <c r="AV30" s="12" t="s">
        <v>614</v>
      </c>
      <c r="AX30" s="770">
        <f ca="1">EDATE(AX29,1)</f>
        <v>44777</v>
      </c>
      <c r="AY30" s="739" cm="1">
        <f t="array" aca="1" ref="AY30" ca="1">1/(1+AT47*_xll.d.Dates_Act360($AX$26,AX30))</f>
        <v>0.99701294920418426</v>
      </c>
      <c r="AZ30" s="739">
        <f ca="1"/>
        <v>0.99706994900852708</v>
      </c>
      <c r="BA30" s="818" t="str" cm="1">
        <f t="array" aca="1" ref="BA30" ca="1">_xll.d.TestUtils_Equal(AY30,AZ30,0.001)</f>
        <v>Ok</v>
      </c>
      <c r="BC30" s="783">
        <v>44747</v>
      </c>
      <c r="BD30" s="761">
        <v>0.99808891623829643</v>
      </c>
      <c r="BE30" s="784">
        <f ca="1"/>
        <v>0.99813087888572649</v>
      </c>
      <c r="BF30" s="747" t="str" cm="1">
        <f t="array" aca="1" ref="BF30" ca="1">_xll.d.TestUtils_Equal(BD30,BE30,0.001)</f>
        <v>Ok</v>
      </c>
      <c r="BG30" s="54"/>
      <c r="BH30" s="12" t="s">
        <v>48</v>
      </c>
      <c r="BI30" s="13"/>
      <c r="BL30" s="54"/>
      <c r="BM30" s="735" t="s">
        <v>27</v>
      </c>
      <c r="BN30" s="825" cm="1">
        <f t="array" aca="1" ref="BN30" ca="1">_xll.d.Dates_AddTenorToDate($BI$32,BM30,"USD","ModFol")</f>
        <v>44834</v>
      </c>
      <c r="BO30" s="731" cm="1">
        <f t="array" aca="1" ref="BO30" ca="1">1/(1+_xll.d.Dates_Act360(BN29,BN30)*BI46)*BO29</f>
        <v>0.9933460324656187</v>
      </c>
      <c r="BP30" s="731" cm="1">
        <f t="array" aca="1" ref="BP30" ca="1">_xll.d.Curve_GetDiscountFactors($BJ$27,BN30)</f>
        <v>0.99350971852369763</v>
      </c>
      <c r="BQ30" s="824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230">
        <f>EDATE(G26,9)</f>
        <v>44986</v>
      </c>
      <c r="H31" s="240">
        <f>H30*1/(1+C47*YEARFRAC(G30,G31,3))</f>
        <v>0.92878565640836808</v>
      </c>
      <c r="I31" s="240" cm="1">
        <f t="array" aca="1" ref="I31" ca="1">_xll.d.Curve_GetDiscountFactors($D$27,G31)</f>
        <v>0.92878565640836819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aca="1" ref="R31" ca="1">_xll.d.Dates_AddTenorToDate($N$32,M42,"ZAR","ModFol")</f>
        <v>43951</v>
      </c>
      <c r="S31" s="731" cm="1">
        <f t="array" aca="1" ref="S31" ca="1">1/(1+_xll.d.Dates_Act365($R$28,R31)*N42)</f>
        <v>0.98408691024210704</v>
      </c>
      <c r="T31" s="731" cm="1">
        <f t="array" aca="1" ref="T31" ca="1">_xll.d.Curve_GetDiscountFactors($O$27,R31)</f>
        <v>0.98408691024210693</v>
      </c>
      <c r="U31" s="221" t="str" cm="1">
        <f t="array" aca="1" ref="U31" ca="1">_xll.d.TestUtils_Equal(S31,T31,0.00001)</f>
        <v>Ok</v>
      </c>
      <c r="V31" s="740"/>
      <c r="W31" s="752">
        <v>43951</v>
      </c>
      <c r="X31" s="760">
        <v>0.98408691018216155</v>
      </c>
      <c r="Y31" s="761" cm="1">
        <f t="array" aca="1" ref="Y31" ca="1">_xll.d.Curve_GetDiscountFactors($O$27,W31)</f>
        <v>0.98408691024210682</v>
      </c>
      <c r="Z31" s="747" t="str" cm="1">
        <f t="array" aca="1" ref="Z31" ca="1">_xll.d.TestUtils_Equal(X31,Y31,$X$24)</f>
        <v>Ok</v>
      </c>
      <c r="AA31" s="203"/>
      <c r="AB31" s="204"/>
      <c r="AC31" s="62" t="s">
        <v>29</v>
      </c>
      <c r="AD31" s="64" t="s">
        <v>30</v>
      </c>
      <c r="AF31" s="779" cm="1">
        <f t="array" aca="1" ref="AF31" ca="1">_xll.d.Dates_AddTenorToDate(AD32,"2d","USD","MODFOL")</f>
        <v>43923</v>
      </c>
      <c r="AH31" s="770">
        <f ca="1">EDATE(AH30,1)</f>
        <v>44076</v>
      </c>
      <c r="AI31" s="739" cm="1">
        <f t="array" aca="1" ref="AI31" ca="1">1/(1+AD48*_xll.d.Dates_Act360($AH$26,AH31))</f>
        <v>0.99971591406108762</v>
      </c>
      <c r="AJ31" s="739" cm="1">
        <f t="array" aca="1" ref="AJ31" ca="1">_xll.d.Curve_GetDiscountFactors($AE$27,AH31)</f>
        <v>0.99971541323156254</v>
      </c>
      <c r="AK31" s="771" t="str" cm="1">
        <f t="array" aca="1" ref="AK31" ca="1">_xll.d.TestUtils_Equal(AI31,AJ31,0.001)</f>
        <v>Ok</v>
      </c>
      <c r="AM31" s="783">
        <v>44046</v>
      </c>
      <c r="AN31" s="761">
        <v>0.99977113572418042</v>
      </c>
      <c r="AO31" s="784" cm="1">
        <f t="array" aca="1" ref="AO31" ca="1">_xll.d.Curve_GetDiscountFactors($AE$27,AM31)</f>
        <v>0.99976697008273918</v>
      </c>
      <c r="AP31" s="749" t="str" cm="1">
        <f t="array" aca="1" ref="AP31" ca="1">_xll.d.TestUtils_Equal(AN31,AO31,0.0001)</f>
        <v>Ok</v>
      </c>
      <c r="AQ31" s="203"/>
      <c r="AR31" s="204"/>
      <c r="AS31" s="62" t="s">
        <v>29</v>
      </c>
      <c r="AT31" s="64" t="s">
        <v>30</v>
      </c>
      <c r="AV31" s="841" cm="1">
        <f t="array" aca="1" ref="AV31" ca="1">_xll.d.Dates_AddTenorToDate(AT32,"2d","USD","MODFOL")</f>
        <v>44655</v>
      </c>
      <c r="AX31" s="770">
        <f ca="1">EDATE(AX30,1)</f>
        <v>44808</v>
      </c>
      <c r="AY31" s="739" cm="1">
        <f t="array" aca="1" ref="AY31" ca="1">1/(1+AT48*_xll.d.Dates_Act360($AX$26,AX31))</f>
        <v>0.99561891723511198</v>
      </c>
      <c r="AZ31" s="739">
        <f ca="1"/>
        <v>0.99572377438897064</v>
      </c>
      <c r="BA31" s="818" t="str" cm="1">
        <f t="array" aca="1" ref="BA31" ca="1">_xll.d.TestUtils_Equal(AY31,AZ31,0.001)</f>
        <v>Ok</v>
      </c>
      <c r="BC31" s="783">
        <v>44777</v>
      </c>
      <c r="BD31" s="761">
        <v>0.9970128077099264</v>
      </c>
      <c r="BE31" s="784">
        <f ca="1"/>
        <v>0.99706994900852708</v>
      </c>
      <c r="BF31" s="747" t="str" cm="1">
        <f t="array" aca="1" ref="BF31" ca="1">_xll.d.TestUtils_Equal(BD31,BE31,0.001)</f>
        <v>Ok</v>
      </c>
      <c r="BG31" s="54"/>
      <c r="BH31" s="62" t="s">
        <v>29</v>
      </c>
      <c r="BI31" s="64" t="s">
        <v>30</v>
      </c>
      <c r="BL31" s="54"/>
      <c r="BM31" s="735" t="s">
        <v>28</v>
      </c>
      <c r="BN31" s="825" cm="1">
        <f t="array" aca="1" ref="BN31" ca="1">_xll.d.Dates_AddTenorToDate($BI$32,BM31,"USD","ModFol")</f>
        <v>44925</v>
      </c>
      <c r="BO31" s="731" cm="1">
        <f t="array" aca="1" ref="BO31" ca="1">1/(1+_xll.d.Dates_Act360(BN30,BN31)*BI47)*BO30</f>
        <v>0.98760768614641792</v>
      </c>
      <c r="BP31" s="731" cm="1">
        <f t="array" aca="1" ref="BP31" ca="1">_xll.d.Curve_GetDiscountFactors($BJ$27,BN31)</f>
        <v>0.98784044938306348</v>
      </c>
      <c r="BQ31" s="824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35" t="s">
        <v>27</v>
      </c>
      <c r="R32" s="229" cm="1">
        <f t="array" aca="1" ref="R32" ca="1">_xll.d.Dates_AddTenorToDate($N$32,Q32,"ZAR","ModFol")</f>
        <v>44043</v>
      </c>
      <c r="S32" s="731">
        <f t="array" aca="1" ref="S32" ca="1">1/(1+_xll.d.Dates_Act365($R$31,R32)*N46)*S31</f>
        <v>0.96832000758706194</v>
      </c>
      <c r="T32" s="731" cm="1">
        <f t="array" aca="1" ref="T32" ca="1">_xll.d.Curve_GetDiscountFactors($O$27,R32)</f>
        <v>0.96832386496355904</v>
      </c>
      <c r="U32" s="221" t="str" cm="1">
        <f t="array" aca="1" ref="U32" ca="1">_xll.d.TestUtils_Equal(S32,T32,0.00001)</f>
        <v>Ok</v>
      </c>
      <c r="V32" s="740"/>
      <c r="W32" s="752">
        <v>44042</v>
      </c>
      <c r="X32" s="760">
        <v>0.96848867041690068</v>
      </c>
      <c r="Y32" s="761" cm="1">
        <f t="array" aca="1" ref="Y32" ca="1">_xll.d.Curve_GetDiscountFactors($O$27,W32)</f>
        <v>0.96848867052013532</v>
      </c>
      <c r="Z32" s="747" t="str" cm="1">
        <f t="array" aca="1" ref="Z32" ca="1">_xll.d.TestUtils_Equal(X32,Y32,$X$24)</f>
        <v>Ok</v>
      </c>
      <c r="AA32" s="203"/>
      <c r="AB32" s="204"/>
      <c r="AC32" s="270" t="s">
        <v>184</v>
      </c>
      <c r="AD32" s="764">
        <v>43921</v>
      </c>
      <c r="AE32" s="8"/>
      <c r="AF32" s="53"/>
      <c r="AH32" s="772">
        <f ca="1">EDATE(AH31,1)</f>
        <v>44106</v>
      </c>
      <c r="AI32" s="773" cm="1">
        <f t="array" aca="1" ref="AI32" ca="1">1/(1+AD49*_xll.d.Dates_Act360($AH$26,AH32))</f>
        <v>0.99966094832835872</v>
      </c>
      <c r="AJ32" s="773" cm="1">
        <f t="array" aca="1" ref="AJ32" ca="1">_xll.d.Curve_GetDiscountFactors($AE$27,AH32)</f>
        <v>0.99966044732489656</v>
      </c>
      <c r="AK32" s="774" t="str" cm="1">
        <f t="array" aca="1" ref="AK32" ca="1">_xll.d.TestUtils_Equal(AI32,AJ32,0.001)</f>
        <v>Ok</v>
      </c>
      <c r="AM32" s="783">
        <v>44076</v>
      </c>
      <c r="AN32" s="761">
        <v>0.9997195786581865</v>
      </c>
      <c r="AO32" s="784" cm="1">
        <f t="array" aca="1" ref="AO32" ca="1">_xll.d.Curve_GetDiscountFactors($AE$27,AM32)</f>
        <v>0.99971541323156243</v>
      </c>
      <c r="AP32" s="749" t="str" cm="1">
        <f t="array" aca="1" ref="AP32" ca="1">_xll.d.TestUtils_Equal(AN32,AO32,0.0001)</f>
        <v>Ok</v>
      </c>
      <c r="AQ32" s="203"/>
      <c r="AR32" s="204"/>
      <c r="AS32" s="270" t="s">
        <v>184</v>
      </c>
      <c r="AT32" s="764">
        <v>44651</v>
      </c>
      <c r="AU32" s="8"/>
      <c r="AV32" s="53"/>
      <c r="AX32" s="772">
        <f ca="1">EDATE(AX31,1)</f>
        <v>44838</v>
      </c>
      <c r="AY32" s="773" cm="1">
        <f t="array" aca="1" ref="AY32" ca="1">1/(1+AT49*_xll.d.Dates_Act360($AX$26,AX32))</f>
        <v>0.9942261421490407</v>
      </c>
      <c r="AZ32" s="773">
        <f ca="1"/>
        <v>0.99431150017099579</v>
      </c>
      <c r="BA32" s="818" t="str" cm="1">
        <f t="array" aca="1" ref="BA32" ca="1">_xll.d.TestUtils_Equal(AY32,AZ32,0.001)</f>
        <v>Ok</v>
      </c>
      <c r="BC32" s="783">
        <v>44810</v>
      </c>
      <c r="BD32" s="761">
        <v>0.99556310762600775</v>
      </c>
      <c r="BE32" s="784">
        <f ca="1"/>
        <v>0.99563698685175428</v>
      </c>
      <c r="BF32" s="747" t="str" cm="1">
        <f t="array" aca="1" ref="BF32" ca="1">_xll.d.TestUtils_Equal(BD32,BE32,0.001)</f>
        <v>Ok</v>
      </c>
      <c r="BG32" s="54"/>
      <c r="BH32" s="216" t="s">
        <v>184</v>
      </c>
      <c r="BI32" s="220">
        <f>AT32</f>
        <v>44651</v>
      </c>
      <c r="BK32" s="53"/>
      <c r="BL32" s="54"/>
      <c r="BM32" s="735" t="s">
        <v>593</v>
      </c>
      <c r="BN32" s="825" cm="1">
        <f t="array" aca="1" ref="BN32" ca="1">_xll.d.Dates_AddTenorToDate($BI$32,BM32,"USD","ModFol")</f>
        <v>45016</v>
      </c>
      <c r="BO32" s="731" cm="1">
        <f t="array" aca="1" ref="BO32" ca="1">1/(1+_xll.d.Dates_Act360(BN31,BN32)*BI48)*BO31</f>
        <v>0.98075265823113977</v>
      </c>
      <c r="BP32" s="731" cm="1">
        <f t="array" aca="1" ref="BP32" ca="1">_xll.d.Curve_GetDiscountFactors($BJ$27,BN32)</f>
        <v>0.98104672661130521</v>
      </c>
      <c r="BQ32" s="824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K33" s="203"/>
      <c r="L33" s="204"/>
      <c r="M33" s="269" t="s">
        <v>219</v>
      </c>
      <c r="N33" s="241" t="s">
        <v>33</v>
      </c>
      <c r="P33" s="53"/>
      <c r="Q33" s="735" t="s">
        <v>28</v>
      </c>
      <c r="R33" s="229" cm="1">
        <f t="array" aca="1" ref="R33" ca="1">_xll.d.Dates_AddTenorToDate($N$32,Q33,"ZAR","ModFol")</f>
        <v>44134</v>
      </c>
      <c r="S33" s="731" cm="1">
        <f t="array" aca="1" ref="S33" ca="1">1/(1+_xll.d.Dates_Act365(R32,R33)*N47)*S32</f>
        <v>0.95343955884482767</v>
      </c>
      <c r="T33" s="731" cm="1">
        <f t="array" aca="1" ref="T33" ca="1">_xll.d.Curve_GetDiscountFactors($O$27,R33)</f>
        <v>0.95344335694392435</v>
      </c>
      <c r="U33" s="221" t="str" cm="1">
        <f t="array" aca="1" ref="U33" ca="1">_xll.d.TestUtils_Equal(S33,T33,0.00001)</f>
        <v>Ok</v>
      </c>
      <c r="V33" s="740"/>
      <c r="W33" s="752">
        <v>44134</v>
      </c>
      <c r="X33" s="760">
        <v>0.95344335683361159</v>
      </c>
      <c r="Y33" s="761" cm="1">
        <f t="array" aca="1" ref="Y33" ca="1">_xll.d.Curve_GetDiscountFactors($O$27,W33)</f>
        <v>0.95344335694392413</v>
      </c>
      <c r="Z33" s="747" t="str" cm="1">
        <f t="array" aca="1" ref="Z33" ca="1">_xll.d.TestUtils_Equal(X33,Y33,$X$24)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J33" s="273"/>
      <c r="AK33" s="278"/>
      <c r="AM33" s="783">
        <v>44106</v>
      </c>
      <c r="AN33" s="761">
        <v>0.99966461252249861</v>
      </c>
      <c r="AO33" s="784" cm="1">
        <f t="array" aca="1" ref="AO33" ca="1">_xll.d.Curve_GetDiscountFactors($AE$27,AM33)</f>
        <v>0.99966044732489656</v>
      </c>
      <c r="AP33" s="749" t="str" cm="1">
        <f t="array" aca="1" ref="AP33" ca="1">_xll.d.TestUtils_Equal(AN33,AO33,0.0001)</f>
        <v>Ok</v>
      </c>
      <c r="AQ33" s="203"/>
      <c r="AR33" s="204"/>
      <c r="AS33" s="713" t="s">
        <v>219</v>
      </c>
      <c r="AT33" s="730" t="s">
        <v>52</v>
      </c>
      <c r="AZ33" s="273"/>
      <c r="BA33" s="278"/>
      <c r="BC33" s="783">
        <v>44838</v>
      </c>
      <c r="BD33" s="761">
        <v>0.99422578625789704</v>
      </c>
      <c r="BE33" s="784">
        <f ca="1"/>
        <v>0.99431150017099568</v>
      </c>
      <c r="BF33" s="747" t="str" cm="1">
        <f t="array" aca="1" ref="BF33" ca="1">_xll.d.TestUtils_Equal(BD33,BE33,0.001)</f>
        <v>Ok</v>
      </c>
      <c r="BG33" s="54"/>
      <c r="BH33" s="269" t="s">
        <v>219</v>
      </c>
      <c r="BI33" s="819" t="s">
        <v>47</v>
      </c>
      <c r="BK33" s="53"/>
      <c r="BL33" s="54"/>
      <c r="BM33" s="735" t="s">
        <v>594</v>
      </c>
      <c r="BN33" s="825" cm="1">
        <f t="array" aca="1" ref="BN33" ca="1">_xll.d.Dates_AddTenorToDate($BI$32,BM33,"USD","ModFol")</f>
        <v>45107</v>
      </c>
      <c r="BO33" s="731" cm="1">
        <f t="array" aca="1" ref="BO33" ca="1">1/(1+_xll.d.Dates_Act360(BN32,BN33)*BI49)*BO32</f>
        <v>0.97323697089520322</v>
      </c>
      <c r="BP33" s="731" cm="1">
        <f t="array" aca="1" ref="BP33" ca="1">_xll.d.Curve_GetDiscountFactors($BJ$27,BN33)</f>
        <v>0.97356020619852279</v>
      </c>
      <c r="BQ33" s="824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1/(1+AD50*(AC50-$AH$26)/360)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121" t="s">
        <v>556</v>
      </c>
      <c r="H34" s="192"/>
      <c r="I34" s="192"/>
      <c r="J34" s="122"/>
      <c r="K34" s="203"/>
      <c r="L34" s="204"/>
      <c r="M34" s="269" t="s">
        <v>45</v>
      </c>
      <c r="N34" s="221" t="s">
        <v>24</v>
      </c>
      <c r="Q34" s="735" t="s">
        <v>593</v>
      </c>
      <c r="R34" s="229" cm="1">
        <f t="array" aca="1" ref="R34" ca="1">_xll.d.Dates_AddTenorToDate($N$32,Q34,"ZAR","ModFol")</f>
        <v>44225</v>
      </c>
      <c r="S34" s="731" cm="1">
        <f t="array" aca="1" ref="S34" ca="1">1/(1+_xll.d.Dates_Act365(R33,R34)*N48)*S33</f>
        <v>0.93890302491578215</v>
      </c>
      <c r="T34" s="731" cm="1">
        <f t="array" aca="1" ref="T34" ca="1">_xll.d.Curve_GetDiscountFactors($O$27,R34)</f>
        <v>0.93890676510748894</v>
      </c>
      <c r="U34" s="221" t="str" cm="1">
        <f t="array" aca="1" ref="U34" ca="1">_xll.d.TestUtils_Equal(S34,T34,0.00001)</f>
        <v>Ok</v>
      </c>
      <c r="V34" s="740"/>
      <c r="W34" s="752">
        <v>44229</v>
      </c>
      <c r="X34" s="760">
        <v>0.93827416773178896</v>
      </c>
      <c r="Y34" s="761" cm="1">
        <f t="array" aca="1" ref="Y34" ca="1">_xll.d.Curve_GetDiscountFactors($O$27,W34)</f>
        <v>0.9382758891525903</v>
      </c>
      <c r="Z34" s="747" t="str" cm="1">
        <f t="array" aca="1" ref="Z34" ca="1">_xll.d.TestUtils_Equal(X34,Y34,$X$24)</f>
        <v>Ok</v>
      </c>
      <c r="AA34" s="203"/>
      <c r="AB34" s="204"/>
      <c r="AC34" s="269" t="s">
        <v>45</v>
      </c>
      <c r="AD34" s="271" t="s">
        <v>53</v>
      </c>
      <c r="AF34" s="53"/>
      <c r="AH34" s="121" t="s">
        <v>556</v>
      </c>
      <c r="AI34" s="192"/>
      <c r="AJ34" s="192"/>
      <c r="AK34" s="122"/>
      <c r="AM34" s="783">
        <v>44200</v>
      </c>
      <c r="AN34" s="761">
        <v>0.99949242443046016</v>
      </c>
      <c r="AO34" s="784" cm="1">
        <f t="array" aca="1" ref="AO34" ca="1">_xll.d.Curve_GetDiscountFactors($AE$27,AM34)</f>
        <v>0.99948825995029578</v>
      </c>
      <c r="AP34" s="749" t="str" cm="1">
        <f t="array" aca="1" ref="AP34" ca="1">_xll.d.TestUtils_Equal(AN34,AO34,0.0001)</f>
        <v>Ok</v>
      </c>
      <c r="AQ34" s="203"/>
      <c r="AR34" s="204"/>
      <c r="AS34" s="269" t="s">
        <v>45</v>
      </c>
      <c r="AT34" s="271" t="s">
        <v>53</v>
      </c>
      <c r="AV34" s="53"/>
      <c r="AX34" s="121" t="s">
        <v>556</v>
      </c>
      <c r="AY34" s="192"/>
      <c r="AZ34" s="192"/>
      <c r="BA34" s="122"/>
      <c r="BC34" s="783">
        <v>44930</v>
      </c>
      <c r="BD34" s="761">
        <v>0.9888258604504544</v>
      </c>
      <c r="BE34" s="784">
        <f ca="1"/>
        <v>0.98894793056834585</v>
      </c>
      <c r="BF34" s="747" t="str" cm="1">
        <f t="array" aca="1" ref="BF34" ca="1">_xll.d.TestUtils_Equal(BD34,BE34,0.001)</f>
        <v>Ok</v>
      </c>
      <c r="BG34" s="54"/>
      <c r="BH34" s="269" t="s">
        <v>45</v>
      </c>
      <c r="BI34" s="221" t="s">
        <v>24</v>
      </c>
      <c r="BL34" s="54"/>
      <c r="BM34" s="735" t="s">
        <v>596</v>
      </c>
      <c r="BN34" s="825" cm="1">
        <f t="array" aca="1" ref="BN34" ca="1">_xll.d.Dates_AddTenorToDate($BI$32,BM34,"USD","ModFol")</f>
        <v>45198</v>
      </c>
      <c r="BO34" s="731" cm="1">
        <f t="array" aca="1" ref="BO34" ca="1">1/(1+_xll.d.Dates_Act360(BN33,BN34)*BI50)*BO33</f>
        <v>0.96546961497669326</v>
      </c>
      <c r="BP34" s="731" cm="1">
        <f t="array" aca="1" ref="BP34" ca="1">_xll.d.Curve_GetDiscountFactors($BJ$27,BN34)</f>
        <v>0.9658067568489872</v>
      </c>
      <c r="BQ34" s="824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496" t="s">
        <v>455</v>
      </c>
      <c r="D35" s="612" t="s">
        <v>552</v>
      </c>
      <c r="G35" s="119" t="s">
        <v>0</v>
      </c>
      <c r="H35" s="291" t="s">
        <v>554</v>
      </c>
      <c r="I35" s="291" t="s">
        <v>555</v>
      </c>
      <c r="J35" s="120" t="s">
        <v>2</v>
      </c>
      <c r="K35" s="203"/>
      <c r="L35" s="204"/>
      <c r="M35" s="143" t="s">
        <v>43</v>
      </c>
      <c r="N35" s="496" t="s">
        <v>455</v>
      </c>
      <c r="O35" s="734" t="s">
        <v>595</v>
      </c>
      <c r="Q35" s="735" t="s">
        <v>594</v>
      </c>
      <c r="R35" s="229" cm="1">
        <f t="array" aca="1" ref="R35" ca="1">_xll.d.Dates_AddTenorToDate($N$32,Q35,"ZAR","ModFol")</f>
        <v>44316</v>
      </c>
      <c r="S35" s="731" cm="1">
        <f t="array" aca="1" ref="S35" ca="1">1/(1+_xll.d.Dates_Act365(R34,R35)*N49)*S34</f>
        <v>0.92465622578544726</v>
      </c>
      <c r="T35" s="731" cm="1">
        <f t="array" aca="1" ref="T35" ca="1">_xll.d.Curve_GetDiscountFactors($O$27,R35)</f>
        <v>0.92465799189869102</v>
      </c>
      <c r="U35" s="221" t="str" cm="1">
        <f t="array" aca="1" ref="U35" ca="1">_xll.d.TestUtils_Equal(S35,T35,0.00001)</f>
        <v>Ok</v>
      </c>
      <c r="V35" s="740"/>
      <c r="W35" s="752">
        <v>44319</v>
      </c>
      <c r="X35" s="760">
        <v>0.92419291912677659</v>
      </c>
      <c r="Y35" s="761" cm="1">
        <f t="array" aca="1" ref="Y35" ca="1">_xll.d.Curve_GetDiscountFactors($O$27,W35)</f>
        <v>0.92418977115352918</v>
      </c>
      <c r="Z35" s="747" t="str" cm="1">
        <f t="array" aca="1" ref="Z35" ca="1">_xll.d.TestUtils_Equal(X35,Y35,$X$24)</f>
        <v>Ok</v>
      </c>
      <c r="AA35" s="203"/>
      <c r="AB35" s="204"/>
      <c r="AC35" s="127" t="s">
        <v>43</v>
      </c>
      <c r="AD35" s="128" t="s">
        <v>455</v>
      </c>
      <c r="AH35" s="119" t="s">
        <v>0</v>
      </c>
      <c r="AI35" s="291" t="s">
        <v>554</v>
      </c>
      <c r="AJ35" s="291" t="s">
        <v>555</v>
      </c>
      <c r="AK35" s="120" t="s">
        <v>2</v>
      </c>
      <c r="AM35" s="783">
        <v>44291</v>
      </c>
      <c r="AN35" s="761">
        <v>0.99929516381112526</v>
      </c>
      <c r="AO35" s="784" cm="1">
        <f t="array" aca="1" ref="AO35" ca="1">_xll.d.Curve_GetDiscountFactors($AE$27,AM35)</f>
        <v>0.99928852256680867</v>
      </c>
      <c r="AP35" s="749" t="str" cm="1">
        <f t="array" aca="1" ref="AP35" ca="1">_xll.d.TestUtils_Equal(AN35,AO35,0.0001)</f>
        <v>Ok</v>
      </c>
      <c r="AQ35" s="203"/>
      <c r="AR35" s="204"/>
      <c r="AS35" s="127" t="s">
        <v>43</v>
      </c>
      <c r="AT35" s="128" t="s">
        <v>455</v>
      </c>
      <c r="AX35" s="119" t="s">
        <v>0</v>
      </c>
      <c r="AY35" s="291" t="s">
        <v>554</v>
      </c>
      <c r="AZ35" s="291" t="s">
        <v>555</v>
      </c>
      <c r="BA35" s="120" t="s">
        <v>2</v>
      </c>
      <c r="BC35" s="783">
        <v>45020</v>
      </c>
      <c r="BD35" s="761">
        <v>0.98256492920654781</v>
      </c>
      <c r="BE35" s="784">
        <f ca="1"/>
        <v>0.98271527559368355</v>
      </c>
      <c r="BF35" s="747" t="str" cm="1">
        <f t="array" aca="1" ref="BF35" ca="1">_xll.d.TestUtils_Equal(BD35,BE35,0.001)</f>
        <v>Ok</v>
      </c>
      <c r="BG35" s="54"/>
      <c r="BH35" s="269" t="s">
        <v>43</v>
      </c>
      <c r="BI35" s="221" t="s">
        <v>455</v>
      </c>
      <c r="BJ35" s="734" t="s">
        <v>595</v>
      </c>
      <c r="BL35" s="54"/>
      <c r="BM35" s="735" t="s">
        <v>597</v>
      </c>
      <c r="BN35" s="825" cm="1">
        <f t="array" aca="1" ref="BN35" ca="1">_xll.d.Dates_AddTenorToDate($BI$32,BM35,"USD","ModFol")</f>
        <v>45289</v>
      </c>
      <c r="BO35" s="731" cm="1">
        <f t="array" aca="1" ref="BO35" ca="1">1/(1+_xll.d.Dates_Act360(BN34,BN35)*BI51)*BO34</f>
        <v>0.95784519384053368</v>
      </c>
      <c r="BP35" s="731" cm="1">
        <f t="array" aca="1" ref="BP35" ca="1">_xll.d.Curve_GetDiscountFactors($BJ$27,BN35)</f>
        <v>0.95817550561776377</v>
      </c>
      <c r="BQ35" s="824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609" t="e">
        <f t="array" aca="1" ref="G36:G48" ca="1">_xll.d.Dates_GenerateSchedule(C32,_xll.d.Dates_AddTenorToDate(C32,"3Y","ZAR","ModFol"),"3m","ZAR","ModFol","Forward")</f>
        <v>#VALUE!</v>
      </c>
      <c r="H36" s="722"/>
      <c r="I36" s="722"/>
      <c r="J36" s="724"/>
      <c r="K36" s="203"/>
      <c r="L36" s="204"/>
      <c r="Q36" s="735" t="s">
        <v>596</v>
      </c>
      <c r="R36" s="229" cm="1">
        <f t="array" aca="1" ref="R36" ca="1">_xll.d.Dates_AddTenorToDate($N$32,Q36,"ZAR","ModFol")</f>
        <v>44407</v>
      </c>
      <c r="S36" s="731" cm="1">
        <f t="array" aca="1" ref="S36" ca="1">1/(1+_xll.d.Dates_Act365(R35,R36)*N50)*S35</f>
        <v>0.9105585344591941</v>
      </c>
      <c r="T36" s="731" cm="1">
        <f t="array" aca="1" ref="T36" ca="1">_xll.d.Curve_GetDiscountFactors($O$27,R36)</f>
        <v>0.91056027364554448</v>
      </c>
      <c r="U36" s="221" t="str" cm="1">
        <f t="array" aca="1" ref="U36" ca="1">_xll.d.TestUtils_Equal(S36,T36,0.00001)</f>
        <v>Ok</v>
      </c>
      <c r="V36" s="740"/>
      <c r="W36" s="752">
        <v>44407</v>
      </c>
      <c r="X36" s="760">
        <v>0.91056113955799578</v>
      </c>
      <c r="Y36" s="761" cm="1">
        <f t="array" aca="1" ref="Y36" ca="1">_xll.d.Curve_GetDiscountFactors($O$27,W36)</f>
        <v>0.9105602736455447</v>
      </c>
      <c r="Z36" s="747" t="str" cm="1">
        <f t="array" aca="1" ref="Z36" ca="1">_xll.d.TestUtils_Equal(X36,Y36,$X$24)</f>
        <v>Ok</v>
      </c>
      <c r="AA36" s="203"/>
      <c r="AB36" s="204"/>
      <c r="AG36" s="8"/>
      <c r="AH36" s="723" t="e">
        <f t="array" aca="1" ref="AH36:AH44" ca="1">_xll.d.Dates_GenerateSchedule(AF31,_xll.d.Dates_AddTenorToDate(AF31,"8Y","USD","ModFol"),"1y","USD","ModFol","Forward")</f>
        <v>#VALUE!</v>
      </c>
      <c r="AI36" s="722"/>
      <c r="AJ36" s="722"/>
      <c r="AK36" s="724"/>
      <c r="AM36" s="783">
        <v>44473</v>
      </c>
      <c r="AN36" s="761">
        <v>0.99879392902080666</v>
      </c>
      <c r="AO36" s="784" cm="1">
        <f t="array" aca="1" ref="AO36" ca="1">_xll.d.Curve_GetDiscountFactors($AE$27,AM36)</f>
        <v>0.9987899998063251</v>
      </c>
      <c r="AP36" s="749" t="str" cm="1">
        <f t="array" aca="1" ref="AP36" ca="1">_xll.d.TestUtils_Equal(AN36,AO36,0.0001)</f>
        <v>Ok</v>
      </c>
      <c r="AQ36" s="203"/>
      <c r="AR36" s="204"/>
      <c r="AW36" s="8"/>
      <c r="AX36" s="723" t="e">
        <f t="array" aca="1" ref="AX36:AX44" ca="1">_xll.d.Dates_GenerateSchedule(AV31,_xll.d.Dates_AddTenorToDate(AV31,"8Y","USD","ModFol"),"1y","USD","ModFol","Forward")</f>
        <v>#VALUE!</v>
      </c>
      <c r="AY36" s="722"/>
      <c r="AZ36" s="722"/>
      <c r="BA36" s="724"/>
      <c r="BC36" s="783">
        <v>45203</v>
      </c>
      <c r="BD36" s="761">
        <v>0.96863570501852436</v>
      </c>
      <c r="BE36" s="784">
        <f ca="1"/>
        <v>0.96889716294273831</v>
      </c>
      <c r="BF36" s="747" t="str" cm="1">
        <f t="array" aca="1" ref="BF36" ca="1">_xll.d.TestUtils_Equal(BD36,BE36,0.001)</f>
        <v>Ok</v>
      </c>
      <c r="BG36" s="54"/>
      <c r="BH36" s="143" t="s">
        <v>641</v>
      </c>
      <c r="BI36" s="496" t="str">
        <f ca="1">AU27</f>
        <v>@@USDOIS-Dual::10:21:29</v>
      </c>
      <c r="BL36" s="54"/>
      <c r="BM36" s="735" t="s">
        <v>598</v>
      </c>
      <c r="BN36" s="826" cm="1">
        <f t="array" aca="1" ref="BN36" ca="1">_xll.d.Dates_AddTenorToDate($BI$32,BM36,"USD","ModFol")</f>
        <v>45380</v>
      </c>
      <c r="BO36" s="827" cm="1">
        <f t="array" aca="1" ref="BO36" ca="1">1/(1+_xll.d.Dates_Act360(BN35,BN36)*BI52)*BO35</f>
        <v>0.95784519384053368</v>
      </c>
      <c r="BP36" s="827" cm="1">
        <f t="array" aca="1" ref="BP36" ca="1">_xll.d.Curve_GetDiscountFactors($BJ$27,BN36)</f>
        <v>0.94970586199614193</v>
      </c>
      <c r="BQ36" s="831" t="str" cm="1">
        <f t="array" aca="1" ref="BQ36" ca="1">_xll.d.TestUtils_Equal(BO36,BP36,$BO$22)</f>
        <v>Error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610" t="e">
        <f ca="1"/>
        <v>#VALUE!</v>
      </c>
      <c r="H37" s="279" t="e" cm="1">
        <f t="array" aca="1" ref="H37" ca="1">_xll.d.Dates_Act365(G36,G37)</f>
        <v>#VALUE!</v>
      </c>
      <c r="I37" s="607" t="e">
        <f t="array" aca="1" ref="I37:I48" ca="1">_xll.d.Curve_GetForwardRates(D27,G36:G47,G37:G48,"Simple")</f>
        <v>#VALUE!</v>
      </c>
      <c r="J37" s="126" t="e" cm="1">
        <f t="array" aca="1" ref="J37" ca="1">_xll.d.Curve_GetDiscountFactors(D27,G37:G48)</f>
        <v>#VALUE!</v>
      </c>
      <c r="K37" s="203"/>
      <c r="L37" s="204"/>
      <c r="Q37" s="735" t="s">
        <v>597</v>
      </c>
      <c r="R37" s="229" cm="1">
        <f t="array" aca="1" ref="R37" ca="1">_xll.d.Dates_AddTenorToDate($N$32,Q37,"ZAR","ModFol")</f>
        <v>44498</v>
      </c>
      <c r="S37" s="731" cm="1">
        <f t="array" aca="1" ref="S37" ca="1">1/(1+_xll.d.Dates_Act365(R36,R37)*N51)*S36</f>
        <v>0.89656572268967616</v>
      </c>
      <c r="T37" s="731" cm="1">
        <f t="array" aca="1" ref="T37" ca="1">_xll.d.Curve_GetDiscountFactors($O$27,R37)</f>
        <v>0.89656743514945603</v>
      </c>
      <c r="U37" s="221" t="str" cm="1">
        <f t="array" aca="1" ref="U37" ca="1">_xll.d.TestUtils_Equal(S37,T37,0.00001)</f>
        <v>Ok</v>
      </c>
      <c r="V37" s="740"/>
      <c r="W37" s="752">
        <v>44502</v>
      </c>
      <c r="X37" s="760">
        <v>0.89595940151095488</v>
      </c>
      <c r="Y37" s="761" cm="1">
        <f t="array" aca="1" ref="Y37" ca="1">_xll.d.Curve_GetDiscountFactors($O$27,W37)</f>
        <v>0.89595168092300459</v>
      </c>
      <c r="Z37" s="747" t="str" cm="1">
        <f t="array" aca="1" ref="Z37" ca="1">_xll.d.TestUtils_Equal(X37,Y37,$X$24)</f>
        <v>Ok</v>
      </c>
      <c r="AA37" s="203"/>
      <c r="AB37" s="204"/>
      <c r="AC37" s="439"/>
      <c r="AD37" s="439"/>
      <c r="AE37" s="439"/>
      <c r="AF37" s="439"/>
      <c r="AG37" s="8"/>
      <c r="AH37" s="725" t="e">
        <f ca="1"/>
        <v>#VALUE!</v>
      </c>
      <c r="AI37" s="280" t="e" cm="1">
        <f t="array" aca="1" ref="AI37" ca="1">_xll.d.Dates_Act360(AH36,AH37)</f>
        <v>#VALUE!</v>
      </c>
      <c r="AJ37" s="721" t="e">
        <f t="array" aca="1" ref="AJ37:AJ44" ca="1">_xll.d.Curve_GetForwardRates(AE27,AH36:AH43,AH37:AH44,"Simple")</f>
        <v>#VALUE!</v>
      </c>
      <c r="AK37" s="726" t="e">
        <f t="array" aca="1" ref="AK37:AK44" ca="1">_xll.d.Curve_GetDiscountFactors(AE27,AH37:AH44)</f>
        <v>#VALUE!</v>
      </c>
      <c r="AM37" s="783">
        <v>44655</v>
      </c>
      <c r="AN37" s="761">
        <v>0.99831442697204265</v>
      </c>
      <c r="AO37" s="784" cm="1">
        <f t="array" aca="1" ref="AO37" ca="1">_xll.d.Curve_GetDiscountFactors($AE$27,AM37)</f>
        <v>0.99831018836473895</v>
      </c>
      <c r="AP37" s="749" t="str" cm="1">
        <f t="array" aca="1" ref="AP37" ca="1">_xll.d.TestUtils_Equal(AN37,AO37,0.0001)</f>
        <v>Ok</v>
      </c>
      <c r="AQ37" s="203"/>
      <c r="AR37" s="204"/>
      <c r="AW37" s="8"/>
      <c r="AX37" s="725" t="e">
        <f ca="1"/>
        <v>#VALUE!</v>
      </c>
      <c r="AY37" s="280" t="e" cm="1">
        <f t="array" aca="1" ref="AY37" ca="1">_xll.d.Dates_Act360(AX36,AX37)</f>
        <v>#VALUE!</v>
      </c>
      <c r="AZ37" s="721" t="e">
        <f t="array" aca="1" ref="AZ37:AZ44" ca="1">_xll.d.Curve_GetForwardRates(AU27,AX36:AX43,AX37:AX44,"Simple")</f>
        <v>#VALUE!</v>
      </c>
      <c r="BA37" s="726" t="e">
        <f t="array" aca="1" ref="BA37:BA44" ca="1">_xll.d.Curve_GetDiscountFactors(AU27,AX37:AX44)</f>
        <v>#VALUE!</v>
      </c>
      <c r="BC37" s="783">
        <v>45386</v>
      </c>
      <c r="BD37" s="761">
        <v>0.95447497778402202</v>
      </c>
      <c r="BE37" s="784">
        <f ca="1"/>
        <v>0.9546252973440178</v>
      </c>
      <c r="BF37" s="747" t="str" cm="1">
        <f t="array" aca="1" ref="BF37" ca="1">_xll.d.TestUtils_Equal(BD37,BE37,0.001)</f>
        <v>Ok</v>
      </c>
      <c r="BG37" s="54"/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G38" s="610" t="e">
        <f ca="1"/>
        <v>#VALUE!</v>
      </c>
      <c r="H38" s="279" t="e" cm="1">
        <f t="array" aca="1" ref="H38" ca="1">_xll.d.Dates_Act365(G37,G38)</f>
        <v>#VALUE!</v>
      </c>
      <c r="I38" s="607" t="e">
        <f ca="1"/>
        <v>#VALUE!</v>
      </c>
      <c r="J38" s="126"/>
      <c r="K38" s="203"/>
      <c r="L38" s="204"/>
      <c r="M38" s="12" t="s">
        <v>21</v>
      </c>
      <c r="N38" s="27"/>
      <c r="O38" s="13"/>
      <c r="Q38" s="735" t="s">
        <v>598</v>
      </c>
      <c r="R38" s="230" cm="1">
        <f t="array" aca="1" ref="R38" ca="1">_xll.d.Dates_AddTenorToDate($N$32,Q38,"ZAR","ModFol")</f>
        <v>44592</v>
      </c>
      <c r="S38" s="732" cm="1">
        <f t="array" aca="1" ref="S38" ca="1">1/(1+_xll.d.Dates_Act365(R37,R38)*N52)*S37</f>
        <v>0.88220678011621201</v>
      </c>
      <c r="T38" s="732" cm="1">
        <f t="array" aca="1" ref="T38" ca="1">_xll.d.Curve_GetDiscountFactors($O$27,R38)</f>
        <v>0.88220846515010309</v>
      </c>
      <c r="U38" s="221" t="str" cm="1">
        <f t="array" aca="1" ref="U38" ca="1">_xll.d.TestUtils_Equal(S38,T38,0.00001)</f>
        <v>Ok</v>
      </c>
      <c r="V38" s="740"/>
      <c r="W38" s="752">
        <v>44593</v>
      </c>
      <c r="X38" s="760">
        <v>0.88203888724645341</v>
      </c>
      <c r="Y38" s="761" cm="1">
        <f t="array" aca="1" ref="Y38" ca="1">_xll.d.Curve_GetDiscountFactors($O$27,W38)</f>
        <v>0.88205105245930193</v>
      </c>
      <c r="Z38" s="747" t="str" cm="1">
        <f t="array" aca="1" ref="Z38" ca="1">_xll.d.TestUtils_Equal(X38,Y38,$X$24)</f>
        <v>Ok</v>
      </c>
      <c r="AA38" s="203"/>
      <c r="AB38" s="204"/>
      <c r="AC38" s="12" t="s">
        <v>21</v>
      </c>
      <c r="AD38" s="27"/>
      <c r="AE38" s="13"/>
      <c r="AG38" s="8"/>
      <c r="AH38" s="725" t="e">
        <f ca="1"/>
        <v>#VALUE!</v>
      </c>
      <c r="AI38" s="279" t="e" cm="1">
        <f t="array" aca="1" ref="AI38" ca="1">_xll.d.Dates_Act360(AH37,AH38)</f>
        <v>#VALUE!</v>
      </c>
      <c r="AJ38" s="607" t="e">
        <f ca="1"/>
        <v>#VALUE!</v>
      </c>
      <c r="AK38" s="727" t="e">
        <f ca="1"/>
        <v>#VALUE!</v>
      </c>
      <c r="AM38" s="783">
        <v>45019</v>
      </c>
      <c r="AN38" s="761">
        <v>0.99647638149095108</v>
      </c>
      <c r="AO38" s="784" cm="1">
        <f t="array" aca="1" ref="AO38" ca="1">_xll.d.Curve_GetDiscountFactors($AE$27,AM38)</f>
        <v>0.99647124209597082</v>
      </c>
      <c r="AP38" s="749" t="str" cm="1">
        <f t="array" aca="1" ref="AP38" ca="1">_xll.d.TestUtils_Equal(AN38,AO38,0.0001)</f>
        <v>Ok</v>
      </c>
      <c r="AQ38" s="203"/>
      <c r="AR38" s="204"/>
      <c r="AS38" s="12" t="s">
        <v>21</v>
      </c>
      <c r="AT38" s="27"/>
      <c r="AU38" s="13"/>
      <c r="AW38" s="8"/>
      <c r="AX38" s="725" t="e">
        <f ca="1"/>
        <v>#VALUE!</v>
      </c>
      <c r="AY38" s="279" t="e" cm="1">
        <f t="array" aca="1" ref="AY38" ca="1">_xll.d.Dates_Act360(AX37,AX38)</f>
        <v>#VALUE!</v>
      </c>
      <c r="AZ38" s="607" t="e">
        <f ca="1"/>
        <v>#VALUE!</v>
      </c>
      <c r="BA38" s="727" t="e">
        <f ca="1"/>
        <v>#VALUE!</v>
      </c>
      <c r="BC38" s="783">
        <v>45751</v>
      </c>
      <c r="BD38" s="761">
        <v>0.93151665593338084</v>
      </c>
      <c r="BE38" s="784">
        <f ca="1"/>
        <v>0.93168703124417207</v>
      </c>
      <c r="BF38" s="747" t="str" cm="1">
        <f t="array" aca="1" ref="BF38" ca="1">_xll.d.TestUtils_Equal(BD38,BE38,0.001)</f>
        <v>Ok</v>
      </c>
      <c r="BG38" s="54"/>
      <c r="BH38" s="12" t="s">
        <v>21</v>
      </c>
      <c r="BI38" s="27"/>
      <c r="BJ38" s="1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G39" s="610" t="e">
        <f ca="1"/>
        <v>#VALUE!</v>
      </c>
      <c r="H39" s="279" t="e" cm="1">
        <f t="array" aca="1" ref="H39" ca="1">_xll.d.Dates_Act365(G38,G39)</f>
        <v>#VALUE!</v>
      </c>
      <c r="I39" s="607" t="e">
        <f ca="1"/>
        <v>#VALUE!</v>
      </c>
      <c r="J39" s="126"/>
      <c r="K39" s="203"/>
      <c r="L39" s="204"/>
      <c r="M39" s="62" t="s">
        <v>35</v>
      </c>
      <c r="N39" s="63" t="s">
        <v>36</v>
      </c>
      <c r="O39" s="64" t="s">
        <v>42</v>
      </c>
      <c r="V39" s="740"/>
      <c r="W39" s="752">
        <v>44957</v>
      </c>
      <c r="X39" s="760">
        <v>0.82657950215859954</v>
      </c>
      <c r="Y39" s="761" cm="1">
        <f t="array" aca="1" ref="Y39" ca="1">_xll.d.Curve_GetDiscountFactors($O$27,W39)</f>
        <v>0.82657902369827241</v>
      </c>
      <c r="Z39" s="747" t="str" cm="1">
        <f t="array" aca="1" ref="Z39" ca="1">_xll.d.TestUtils_Equal(X39,Y39,$X$24)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25" t="e">
        <f ca="1"/>
        <v>#VALUE!</v>
      </c>
      <c r="AI39" s="279" t="e" cm="1">
        <f t="array" aca="1" ref="AI39" ca="1">_xll.d.Dates_Act360(AH38,AH39)</f>
        <v>#VALUE!</v>
      </c>
      <c r="AJ39" s="607" t="e">
        <f ca="1"/>
        <v>#VALUE!</v>
      </c>
      <c r="AK39" s="727" t="e">
        <f ca="1"/>
        <v>#VALUE!</v>
      </c>
      <c r="AM39" s="783">
        <v>45384</v>
      </c>
      <c r="AN39" s="761">
        <v>0.99353628932238969</v>
      </c>
      <c r="AO39" s="784" cm="1">
        <f t="array" aca="1" ref="AO39" ca="1">_xll.d.Curve_GetDiscountFactors($AE$27,AM39)</f>
        <v>0.9935226136889701</v>
      </c>
      <c r="AP39" s="749" t="str" cm="1">
        <f t="array" aca="1" ref="AP39" ca="1">_xll.d.TestUtils_Equal(AN39,AO39,0.0001)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25" t="e">
        <f ca="1"/>
        <v>#VALUE!</v>
      </c>
      <c r="AY39" s="279" t="e" cm="1">
        <f t="array" aca="1" ref="AY39" ca="1">_xll.d.Dates_Act360(AX38,AX39)</f>
        <v>#VALUE!</v>
      </c>
      <c r="AZ39" s="607" t="e">
        <f ca="1"/>
        <v>#VALUE!</v>
      </c>
      <c r="BA39" s="727" t="e">
        <f ca="1"/>
        <v>#VALUE!</v>
      </c>
      <c r="BC39" s="783">
        <v>46118</v>
      </c>
      <c r="BD39" s="761">
        <v>0.91204003345386175</v>
      </c>
      <c r="BE39" s="784">
        <f ca="1"/>
        <v>0.91218522603371865</v>
      </c>
      <c r="BF39" s="747" t="str" cm="1">
        <f t="array" aca="1" ref="BF39" ca="1">_xll.d.TestUtils_Equal(BD39,BE39,0.001)</f>
        <v>Ok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610" t="e">
        <f ca="1"/>
        <v>#VALUE!</v>
      </c>
      <c r="H40" s="279" t="e" cm="1">
        <f t="array" aca="1" ref="H40" ca="1">_xll.d.Dates_Act365(G39,G40)</f>
        <v>#VALUE!</v>
      </c>
      <c r="I40" s="607" t="e">
        <f ca="1"/>
        <v>#VALUE!</v>
      </c>
      <c r="J40" s="126"/>
      <c r="K40" s="203"/>
      <c r="L40" s="204"/>
      <c r="M40" s="706" t="s">
        <v>53</v>
      </c>
      <c r="N40" s="707">
        <v>6.2780000000000002E-2</v>
      </c>
      <c r="O40" s="250" t="b">
        <v>1</v>
      </c>
      <c r="R40" s="121" t="s">
        <v>556</v>
      </c>
      <c r="S40" s="192"/>
      <c r="T40" s="192"/>
      <c r="U40" s="122"/>
      <c r="V40" s="740"/>
      <c r="W40" s="752">
        <v>45322</v>
      </c>
      <c r="X40" s="760">
        <v>0.77142555086444875</v>
      </c>
      <c r="Y40" s="761" cm="1">
        <f t="array" aca="1" ref="Y40" ca="1">_xll.d.Curve_GetDiscountFactors($O$27,W40)</f>
        <v>0.771425092989796</v>
      </c>
      <c r="Z40" s="747" t="str" cm="1">
        <f t="array" aca="1" ref="Z40" ca="1">_xll.d.TestUtils_Equal(X40,Y40,$X$24)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25" t="e">
        <f ca="1"/>
        <v>#VALUE!</v>
      </c>
      <c r="AI40" s="279" t="e" cm="1">
        <f t="array" aca="1" ref="AI40" ca="1">_xll.d.Dates_Act360(AH39,AH40)</f>
        <v>#VALUE!</v>
      </c>
      <c r="AJ40" s="607" t="e">
        <f ca="1"/>
        <v>#VALUE!</v>
      </c>
      <c r="AK40" s="727" t="e">
        <f ca="1"/>
        <v>#VALUE!</v>
      </c>
      <c r="AM40" s="783">
        <v>45749</v>
      </c>
      <c r="AN40" s="761">
        <v>0.98925951996509143</v>
      </c>
      <c r="AO40" s="784" cm="1">
        <f t="array" aca="1" ref="AO40" ca="1">_xll.d.Curve_GetDiscountFactors($AE$27,AM40)</f>
        <v>0.98924200910255267</v>
      </c>
      <c r="AP40" s="749" t="str" cm="1">
        <f t="array" aca="1" ref="AP40" ca="1">_xll.d.TestUtils_Equal(AN40,AO40,0.0001)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25" t="e">
        <f ca="1"/>
        <v>#VALUE!</v>
      </c>
      <c r="AY40" s="279" t="e" cm="1">
        <f t="array" aca="1" ref="AY40" ca="1">_xll.d.Dates_Act360(AX39,AX40)</f>
        <v>#VALUE!</v>
      </c>
      <c r="AZ40" s="607" t="e">
        <f ca="1"/>
        <v>#VALUE!</v>
      </c>
      <c r="BA40" s="727" t="e">
        <f ca="1"/>
        <v>#VALUE!</v>
      </c>
      <c r="BC40" s="783">
        <v>46482</v>
      </c>
      <c r="BD40" s="761">
        <v>0.89492872245432198</v>
      </c>
      <c r="BE40" s="784">
        <f ca="1"/>
        <v>0.89506557532521158</v>
      </c>
      <c r="BF40" s="747" t="str" cm="1">
        <f t="array" aca="1" ref="BF40" ca="1">_xll.d.TestUtils_Equal(BD40,BE40,0.001)</f>
        <v>Ok</v>
      </c>
      <c r="BG40" s="54"/>
      <c r="BH40" s="706" t="s">
        <v>53</v>
      </c>
      <c r="BI40" s="707">
        <v>3.3170999999999999E-3</v>
      </c>
      <c r="BJ40" s="250" t="b">
        <v>1</v>
      </c>
      <c r="BL40" s="54"/>
      <c r="BN40" s="723" t="e">
        <f t="array" aca="1" ref="BN40:BN72" ca="1">_xll.d.Dates_GenerateSchedule(BI32,_xll.d.Dates_AddTenorToDate(BI32,"8Y","USD","ModFol"),"3m","USD","ModFol","Forward")</f>
        <v>#VALUE!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610" t="e">
        <f ca="1"/>
        <v>#VALUE!</v>
      </c>
      <c r="H41" s="279" t="e" cm="1">
        <f t="array" aca="1" ref="H41" ca="1">_xll.d.Dates_Act365(G40,G41)</f>
        <v>#VALUE!</v>
      </c>
      <c r="I41" s="607" t="e">
        <f ca="1"/>
        <v>#VALUE!</v>
      </c>
      <c r="J41" s="126"/>
      <c r="K41" s="203"/>
      <c r="L41" s="204"/>
      <c r="M41" s="251" t="s">
        <v>25</v>
      </c>
      <c r="N41" s="708">
        <v>6.3829999999999998E-2</v>
      </c>
      <c r="O41" s="252" t="b">
        <v>1</v>
      </c>
      <c r="R41" s="119" t="s">
        <v>0</v>
      </c>
      <c r="S41" s="291" t="s">
        <v>554</v>
      </c>
      <c r="T41" s="291" t="s">
        <v>555</v>
      </c>
      <c r="U41" s="120" t="s">
        <v>2</v>
      </c>
      <c r="V41" s="740"/>
      <c r="W41" s="752">
        <v>45688</v>
      </c>
      <c r="X41" s="760">
        <v>0.71728031027113948</v>
      </c>
      <c r="Y41" s="761" cm="1">
        <f t="array" aca="1" ref="Y41" ca="1">_xll.d.Curve_GetDiscountFactors($O$27,W41)</f>
        <v>0.71727987233787982</v>
      </c>
      <c r="Z41" s="747" t="str" cm="1">
        <f t="array" aca="1" ref="Z41" ca="1">_xll.d.TestUtils_Equal(X41,Y41,$X$24)</f>
        <v>Ok</v>
      </c>
      <c r="AA41" s="203"/>
      <c r="AB41" s="204"/>
      <c r="AG41" s="8"/>
      <c r="AH41" s="725" t="e">
        <f ca="1"/>
        <v>#VALUE!</v>
      </c>
      <c r="AI41" s="279" t="e" cm="1">
        <f t="array" aca="1" ref="AI41" ca="1">_xll.d.Dates_Act360(AH40,AH41)</f>
        <v>#VALUE!</v>
      </c>
      <c r="AJ41" s="607" t="e">
        <f ca="1"/>
        <v>#VALUE!</v>
      </c>
      <c r="AK41" s="727" t="e">
        <f ca="1"/>
        <v>#VALUE!</v>
      </c>
      <c r="AM41" s="783">
        <v>46479</v>
      </c>
      <c r="AN41" s="761">
        <v>0.97794158297967493</v>
      </c>
      <c r="AO41" s="784" cm="1">
        <f t="array" aca="1" ref="AO41" ca="1">_xll.d.Curve_GetDiscountFactors($AE$27,AM41)</f>
        <v>0.97789827726743384</v>
      </c>
      <c r="AP41" s="749" t="str" cm="1">
        <f t="array" aca="1" ref="AP41" ca="1">_xll.d.TestUtils_Equal(AN41,AO41,0.0001)</f>
        <v>Ok</v>
      </c>
      <c r="AQ41" s="203"/>
      <c r="AR41" s="204"/>
      <c r="AW41" s="8"/>
      <c r="AX41" s="725" t="e">
        <f ca="1"/>
        <v>#VALUE!</v>
      </c>
      <c r="AY41" s="279" t="e" cm="1">
        <f t="array" aca="1" ref="AY41" ca="1">_xll.d.Dates_Act360(AX40,AX41)</f>
        <v>#VALUE!</v>
      </c>
      <c r="AZ41" s="607" t="e">
        <f ca="1"/>
        <v>#VALUE!</v>
      </c>
      <c r="BA41" s="727" t="e">
        <f ca="1"/>
        <v>#VALUE!</v>
      </c>
      <c r="BC41" s="783">
        <v>47212</v>
      </c>
      <c r="BD41" s="761">
        <v>0.86066681192648165</v>
      </c>
      <c r="BE41" s="784">
        <f ca="1"/>
        <v>0.86079635578514846</v>
      </c>
      <c r="BF41" s="747" t="str" cm="1">
        <f t="array" aca="1" ref="BF41" ca="1">_xll.d.TestUtils_Equal(BD41,BE41,0.001)</f>
        <v>Ok</v>
      </c>
      <c r="BG41" s="54"/>
      <c r="BH41" s="251" t="s">
        <v>25</v>
      </c>
      <c r="BI41" s="708">
        <v>4.5199999999999997E-3</v>
      </c>
      <c r="BJ41" s="252" t="b">
        <v>1</v>
      </c>
      <c r="BL41" s="54"/>
      <c r="BM41" s="9"/>
      <c r="BN41" s="725" t="e">
        <f ca="1"/>
        <v>#VALUE!</v>
      </c>
      <c r="BO41" s="280" t="e" cm="1">
        <f t="array" aca="1" ref="BO41" ca="1">_xll.d.Dates_Act360(BN40,BN41)</f>
        <v>#VALUE!</v>
      </c>
      <c r="BP41" s="721" t="e">
        <f t="array" aca="1" ref="BP41:BP72" ca="1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10" t="e">
        <f ca="1"/>
        <v>#VALUE!</v>
      </c>
      <c r="H42" s="279" t="e" cm="1">
        <f t="array" aca="1" ref="H42" ca="1">_xll.d.Dates_Act365(G41,G42)</f>
        <v>#VALUE!</v>
      </c>
      <c r="I42" s="607" t="e">
        <f ca="1"/>
        <v>#VALUE!</v>
      </c>
      <c r="J42" s="126"/>
      <c r="K42" s="203"/>
      <c r="L42" s="204"/>
      <c r="M42" s="253" t="s">
        <v>24</v>
      </c>
      <c r="N42" s="709">
        <v>6.5579999999999999E-2</v>
      </c>
      <c r="O42" s="255" t="b">
        <v>1</v>
      </c>
      <c r="R42" s="723" t="e">
        <f t="array" aca="1" ref="R42:R74" ca="1">_xll.d.Dates_GenerateSchedule(N32,_xll.d.Dates_AddTenorToDate(N32,"8Y","ZAR","ModFol"),"3m","ZAR","ModFol","Forward")</f>
        <v>#VALUE!</v>
      </c>
      <c r="S42" s="722"/>
      <c r="T42" s="722"/>
      <c r="U42" s="724"/>
      <c r="V42" s="740"/>
      <c r="W42" s="752">
        <v>46052</v>
      </c>
      <c r="X42" s="760">
        <v>0.66351867459800129</v>
      </c>
      <c r="Y42" s="761" cm="1">
        <f t="array" aca="1" ref="Y42" ca="1">_xll.d.Curve_GetDiscountFactors($O$27,W42)</f>
        <v>0.66351825452710711</v>
      </c>
      <c r="Z42" s="747" t="str" cm="1">
        <f t="array" aca="1" ref="Z42" ca="1">_xll.d.TestUtils_Equal(X42,Y42,$X$24)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5" t="e">
        <f ca="1"/>
        <v>#VALUE!</v>
      </c>
      <c r="AI42" s="279" t="e" cm="1">
        <f t="array" aca="1" ref="AI42" ca="1">_xll.d.Dates_Act360(AH41,AH42)</f>
        <v>#VALUE!</v>
      </c>
      <c r="AJ42" s="607" t="e">
        <f ca="1"/>
        <v>#VALUE!</v>
      </c>
      <c r="AK42" s="727" t="e">
        <f ca="1"/>
        <v>#VALUE!</v>
      </c>
      <c r="AM42" s="783">
        <v>47575</v>
      </c>
      <c r="AN42" s="761">
        <v>0.95684032944715969</v>
      </c>
      <c r="AO42" s="784" cm="1">
        <f t="array" aca="1" ref="AO42" ca="1">_xll.d.Curve_GetDiscountFactors($AE$27,AM42)</f>
        <v>0.95681834245853103</v>
      </c>
      <c r="AP42" s="750" t="str" cm="1">
        <f t="array" aca="1" ref="AP42" ca="1">_xll.d.TestUtils_Equal(AN42,AO42,0.0001)</f>
        <v>Ok</v>
      </c>
      <c r="AQ42" s="203"/>
      <c r="AR42" s="204"/>
      <c r="AS42" s="12" t="s">
        <v>51</v>
      </c>
      <c r="AT42" s="27"/>
      <c r="AU42" s="13"/>
      <c r="AW42" s="8"/>
      <c r="AX42" s="725" t="e">
        <f ca="1"/>
        <v>#VALUE!</v>
      </c>
      <c r="AY42" s="279" t="e" cm="1">
        <f t="array" aca="1" ref="AY42" ca="1">_xll.d.Dates_Act360(AX41,AX42)</f>
        <v>#VALUE!</v>
      </c>
      <c r="AZ42" s="607" t="e">
        <f ca="1"/>
        <v>#VALUE!</v>
      </c>
      <c r="BA42" s="727" t="e">
        <f ca="1"/>
        <v>#VALUE!</v>
      </c>
      <c r="BC42" s="783">
        <v>48309</v>
      </c>
      <c r="BD42" s="761">
        <v>0.81049568807084837</v>
      </c>
      <c r="BE42" s="784">
        <f ca="1"/>
        <v>0.81061212037314923</v>
      </c>
      <c r="BF42" s="747" t="str" cm="1">
        <f t="array" aca="1" ref="BF42" ca="1">_xll.d.TestUtils_Equal(BD42,BE42,0.001)</f>
        <v>Ok</v>
      </c>
      <c r="BG42" s="54"/>
      <c r="BH42" s="253" t="s">
        <v>24</v>
      </c>
      <c r="BI42" s="709">
        <v>9.6156999999999996E-3</v>
      </c>
      <c r="BJ42" s="255" t="b">
        <v>1</v>
      </c>
      <c r="BL42" s="54"/>
      <c r="BM42" s="9"/>
      <c r="BN42" s="725" t="e">
        <f ca="1"/>
        <v>#VALUE!</v>
      </c>
      <c r="BO42" s="279" t="e" cm="1">
        <f t="array" aca="1" ref="BO42" ca="1">_xll.d.Dates_Act365(BN41,BN42)</f>
        <v>#VALUE!</v>
      </c>
      <c r="BP42" s="607" t="e">
        <f ca="1"/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 t="e">
        <f ca="1"/>
        <v>#VALUE!</v>
      </c>
      <c r="H43" s="279" t="e" cm="1">
        <f t="array" aca="1" ref="H43" ca="1">_xll.d.Dates_Act365(G42,G43)</f>
        <v>#VALUE!</v>
      </c>
      <c r="I43" s="607" t="e">
        <f ca="1"/>
        <v>#VALUE!</v>
      </c>
      <c r="J43" s="126"/>
      <c r="K43" s="203"/>
      <c r="L43" s="204"/>
      <c r="Q43" s="9"/>
      <c r="R43" s="725" t="e">
        <f ca="1"/>
        <v>#VALUE!</v>
      </c>
      <c r="S43" s="280" t="e" cm="1">
        <f t="array" aca="1" ref="S43" ca="1">_xll.d.Dates_Act365(R42,R43)</f>
        <v>#VALUE!</v>
      </c>
      <c r="T43" s="721" t="e">
        <f t="array" aca="1" ref="T43:T74" ca="1">_xll.d.Curve_GetForwardRates(O27,R42:R73,R43:R74,"Simple")</f>
        <v>#VALUE!</v>
      </c>
      <c r="U43" s="726" t="e">
        <f t="array" aca="1" ref="U43:U74" ca="1">_xll.d.Curve_GetDiscountFactors(O27,R43:R74)</f>
        <v>#VALUE!</v>
      </c>
      <c r="V43" s="740"/>
      <c r="W43" s="752">
        <v>46416</v>
      </c>
      <c r="X43" s="760">
        <v>0.61166546399400523</v>
      </c>
      <c r="Y43" s="761" cm="1">
        <f t="array" aca="1" ref="Y43" ca="1">_xll.d.Curve_GetDiscountFactors($O$27,W43)</f>
        <v>0.61166506256248243</v>
      </c>
      <c r="Z43" s="747" t="str" cm="1">
        <f t="array" aca="1" ref="Z43" ca="1">_xll.d.TestUtils_Equal(X43,Y43,$X$24)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 t="e">
        <f ca="1"/>
        <v>#VALUE!</v>
      </c>
      <c r="AI43" s="279" t="e" cm="1">
        <f t="array" aca="1" ref="AI43" ca="1">_xll.d.Dates_Act360(AH42,AH43)</f>
        <v>#VALUE!</v>
      </c>
      <c r="AJ43" s="607" t="e">
        <f ca="1"/>
        <v>#VALUE!</v>
      </c>
      <c r="AK43" s="727" t="e">
        <f ca="1"/>
        <v>#VALUE!</v>
      </c>
      <c r="AM43" s="783">
        <v>48306</v>
      </c>
      <c r="AN43" s="761">
        <v>0.94199581673574373</v>
      </c>
      <c r="AO43" s="784" cm="1">
        <f t="array" aca="1" ref="AO43" ca="1">_xll.d.Curve_GetDiscountFactors($AE$27,AM43)</f>
        <v>0.94196322894163875</v>
      </c>
      <c r="AP43" s="750" t="str" cm="1">
        <f t="array" aca="1" ref="AP43" ca="1">_xll.d.TestUtils_Equal(AN43,AO43,0.0001)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 t="e">
        <f ca="1"/>
        <v>#VALUE!</v>
      </c>
      <c r="AY43" s="279" t="e" cm="1">
        <f t="array" aca="1" ref="AY43" ca="1">_xll.d.Dates_Act360(AX42,AX43)</f>
        <v>#VALUE!</v>
      </c>
      <c r="AZ43" s="607" t="e">
        <f ca="1"/>
        <v>#VALUE!</v>
      </c>
      <c r="BA43" s="727" t="e">
        <f ca="1"/>
        <v>#VALUE!</v>
      </c>
      <c r="BC43" s="783">
        <v>49038</v>
      </c>
      <c r="BD43" s="761">
        <v>0.77683553954317675</v>
      </c>
      <c r="BE43" s="784">
        <f ca="1"/>
        <v>0.77694743626845497</v>
      </c>
      <c r="BF43" s="747" t="str" cm="1">
        <f t="array" aca="1" ref="BF43" ca="1">_xll.d.TestUtils_Equal(BD43,BE43,0.001)</f>
        <v>Ok</v>
      </c>
      <c r="BG43" s="54"/>
      <c r="BL43" s="54"/>
      <c r="BN43" s="725" t="e">
        <f ca="1"/>
        <v>#VALUE!</v>
      </c>
      <c r="BO43" s="279" t="e" cm="1">
        <f t="array" aca="1" ref="BO43" ca="1">_xll.d.Dates_Act365(BN42,BN43)</f>
        <v>#VALUE!</v>
      </c>
      <c r="BP43" s="607" t="e">
        <f ca="1"/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 t="e">
        <f ca="1"/>
        <v>#VALUE!</v>
      </c>
      <c r="H44" s="279" t="e" cm="1">
        <f t="array" aca="1" ref="H44" ca="1">_xll.d.Dates_Act365(G43,G44)</f>
        <v>#VALUE!</v>
      </c>
      <c r="I44" s="607" t="e">
        <f ca="1"/>
        <v>#VALUE!</v>
      </c>
      <c r="J44" s="126"/>
      <c r="K44" s="203"/>
      <c r="L44" s="204"/>
      <c r="M44" s="12" t="s">
        <v>34</v>
      </c>
      <c r="N44" s="27"/>
      <c r="O44" s="13"/>
      <c r="Q44" s="9"/>
      <c r="R44" s="725" t="e">
        <f ca="1"/>
        <v>#VALUE!</v>
      </c>
      <c r="S44" s="279" t="e" cm="1">
        <f t="array" aca="1" ref="S44" ca="1">_xll.d.Dates_Act365(R43,R44)</f>
        <v>#VALUE!</v>
      </c>
      <c r="T44" s="607" t="e">
        <f ca="1"/>
        <v>#VALUE!</v>
      </c>
      <c r="U44" s="727" t="e">
        <f ca="1"/>
        <v>#VALUE!</v>
      </c>
      <c r="V44" s="740"/>
      <c r="W44" s="753">
        <v>46783</v>
      </c>
      <c r="X44" s="762">
        <v>0.55992571979354799</v>
      </c>
      <c r="Y44" s="763" cm="1">
        <f t="array" aca="1" ref="Y44" ca="1">_xll.d.Curve_GetDiscountFactors($O$27,W44)</f>
        <v>0.55992533612260831</v>
      </c>
      <c r="Z44" s="747" t="str" cm="1">
        <f t="array" aca="1" ref="Z44" ca="1">_xll.d.TestUtils_Equal(X44,Y44,$X$24)</f>
        <v>Ok</v>
      </c>
      <c r="AA44" s="203"/>
      <c r="AB44" s="204"/>
      <c r="AC44" s="776" t="s">
        <v>25</v>
      </c>
      <c r="AD44" s="274">
        <v>7.000000000000001E-4</v>
      </c>
      <c r="AE44" s="205" t="b">
        <v>1</v>
      </c>
      <c r="AF44" s="439"/>
      <c r="AG44" s="8"/>
      <c r="AH44" s="728" t="e">
        <f ca="1"/>
        <v>#VALUE!</v>
      </c>
      <c r="AI44" s="640" t="e" cm="1">
        <f t="array" aca="1" ref="AI44" ca="1">_xll.d.Dates_Act360(AH43,AH44)</f>
        <v>#VALUE!</v>
      </c>
      <c r="AJ44" s="729" t="e">
        <f ca="1"/>
        <v>#VALUE!</v>
      </c>
      <c r="AK44" s="328" t="e">
        <f ca="1"/>
        <v>#VALUE!</v>
      </c>
      <c r="AM44" s="783">
        <v>49401</v>
      </c>
      <c r="AN44" s="761">
        <v>0.92158205934554305</v>
      </c>
      <c r="AO44" s="784" cm="1">
        <f t="array" aca="1" ref="AO44" ca="1">_xll.d.Curve_GetDiscountFactors($AE$27,AM44)</f>
        <v>0.92156171445373047</v>
      </c>
      <c r="AP44" s="750" t="str" cm="1">
        <f t="array" aca="1" ref="AP44" ca="1">_xll.d.TestUtils_Equal(AN44,AO44,0.0001)</f>
        <v>Ok</v>
      </c>
      <c r="AQ44" s="203"/>
      <c r="AR44" s="204"/>
      <c r="AS44" s="776" t="s">
        <v>25</v>
      </c>
      <c r="AT44" s="274">
        <v>3.4200000000000003E-3</v>
      </c>
      <c r="AU44" s="205" t="b">
        <v>1</v>
      </c>
      <c r="AW44" s="8"/>
      <c r="AX44" s="728" t="e">
        <f ca="1"/>
        <v>#VALUE!</v>
      </c>
      <c r="AY44" s="640" t="e" cm="1">
        <f t="array" aca="1" ref="AY44" ca="1">_xll.d.Dates_Act360(AX43,AX44)</f>
        <v>#VALUE!</v>
      </c>
      <c r="AZ44" s="729" t="e">
        <f ca="1"/>
        <v>#VALUE!</v>
      </c>
      <c r="BA44" s="328" t="e">
        <f ca="1"/>
        <v>#VALUE!</v>
      </c>
      <c r="BC44" s="783">
        <v>50136</v>
      </c>
      <c r="BD44" s="761">
        <v>0.72962499907491318</v>
      </c>
      <c r="BE44" s="784">
        <f ca="1"/>
        <v>0.72972988149655771</v>
      </c>
      <c r="BF44" s="747" t="str" cm="1">
        <f t="array" aca="1" ref="BF44" ca="1">_xll.d.TestUtils_Equal(BD44,BE44,0.001)</f>
        <v>Ok</v>
      </c>
      <c r="BG44" s="54"/>
      <c r="BH44" s="12" t="s">
        <v>34</v>
      </c>
      <c r="BI44" s="27"/>
      <c r="BJ44" s="13"/>
      <c r="BL44" s="54"/>
      <c r="BM44" s="9"/>
      <c r="BN44" s="725" t="e">
        <f ca="1"/>
        <v>#VALUE!</v>
      </c>
      <c r="BO44" s="279" t="e" cm="1">
        <f t="array" aca="1" ref="BO44" ca="1">_xll.d.Dates_Act365(BN43,BN44)</f>
        <v>#VALUE!</v>
      </c>
      <c r="BP44" s="607" t="e">
        <f ca="1"/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 t="e">
        <f ca="1"/>
        <v>#VALUE!</v>
      </c>
      <c r="H45" s="279" t="e" cm="1">
        <f t="array" aca="1" ref="H45" ca="1">_xll.d.Dates_Act365(G44,G45)</f>
        <v>#VALUE!</v>
      </c>
      <c r="I45" s="607" t="e">
        <f ca="1"/>
        <v>#VALUE!</v>
      </c>
      <c r="J45" s="126"/>
      <c r="K45" s="203"/>
      <c r="L45" s="204"/>
      <c r="M45" s="62" t="s">
        <v>194</v>
      </c>
      <c r="N45" s="63" t="s">
        <v>36</v>
      </c>
      <c r="O45" s="64" t="s">
        <v>42</v>
      </c>
      <c r="R45" s="725" t="e">
        <f ca="1"/>
        <v>#VALUE!</v>
      </c>
      <c r="S45" s="279" t="e" cm="1">
        <f t="array" aca="1" ref="S45" ca="1">_xll.d.Dates_Act365(R44,R45)</f>
        <v>#VALUE!</v>
      </c>
      <c r="T45" s="607" t="e">
        <f ca="1"/>
        <v>#VALUE!</v>
      </c>
      <c r="U45" s="727" t="e">
        <f ca="1"/>
        <v>#VALUE!</v>
      </c>
      <c r="V45" s="740"/>
      <c r="W45" s="740"/>
      <c r="X45" s="740"/>
      <c r="Y45" s="740"/>
      <c r="Z45" s="740"/>
      <c r="AA45" s="203"/>
      <c r="AB45" s="204"/>
      <c r="AC45" s="777" t="s">
        <v>26</v>
      </c>
      <c r="AD45" s="275">
        <v>7.0999999999999991E-4</v>
      </c>
      <c r="AE45" s="206" t="b">
        <v>1</v>
      </c>
      <c r="AF45" s="439"/>
      <c r="AH45" s="439"/>
      <c r="AI45" s="439"/>
      <c r="AJ45" s="439"/>
      <c r="AK45" s="439"/>
      <c r="AM45" s="783">
        <v>51228</v>
      </c>
      <c r="AN45" s="761">
        <v>0.88718364143951234</v>
      </c>
      <c r="AO45" s="784" cm="1">
        <f t="array" aca="1" ref="AO45" ca="1">_xll.d.Curve_GetDiscountFactors($AE$27,AM45)</f>
        <v>0.88716540900503738</v>
      </c>
      <c r="AP45" s="750" t="str" cm="1">
        <f t="array" aca="1" ref="AP45" ca="1">_xll.d.TestUtils_Equal(AN45,AO45,0.0001)</f>
        <v>Ok</v>
      </c>
      <c r="AQ45" s="203"/>
      <c r="AR45" s="204"/>
      <c r="AS45" s="777" t="s">
        <v>26</v>
      </c>
      <c r="AT45" s="275">
        <v>5.6499999999999996E-3</v>
      </c>
      <c r="AU45" s="206" t="b">
        <v>1</v>
      </c>
      <c r="BC45" s="783">
        <v>51963</v>
      </c>
      <c r="BD45" s="761">
        <v>0.6587292168104727</v>
      </c>
      <c r="BE45" s="784">
        <f ca="1"/>
        <v>0.65884119832617782</v>
      </c>
      <c r="BF45" s="747" t="str" cm="1">
        <f t="array" aca="1" ref="BF45" ca="1">_xll.d.TestUtils_Equal(BD45,BE45,0.001)</f>
        <v>Ok</v>
      </c>
      <c r="BG45" s="54"/>
      <c r="BH45" s="62" t="s">
        <v>194</v>
      </c>
      <c r="BI45" s="63" t="s">
        <v>36</v>
      </c>
      <c r="BJ45" s="64" t="s">
        <v>42</v>
      </c>
      <c r="BL45" s="54"/>
      <c r="BM45" s="9"/>
      <c r="BN45" s="725" t="e">
        <f ca="1"/>
        <v>#VALUE!</v>
      </c>
      <c r="BO45" s="279" t="e" cm="1">
        <f t="array" aca="1" ref="BO45" ca="1">_xll.d.Dates_Act365(BN44,BN45)</f>
        <v>#VALUE!</v>
      </c>
      <c r="BP45" s="607" t="e">
        <f ca="1"/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 t="e">
        <f ca="1"/>
        <v>#VALUE!</v>
      </c>
      <c r="H46" s="279" t="e" cm="1">
        <f t="array" aca="1" ref="H46" ca="1">_xll.d.Dates_Act365(G45,G46)</f>
        <v>#VALUE!</v>
      </c>
      <c r="I46" s="607" t="e">
        <f ca="1"/>
        <v>#VALUE!</v>
      </c>
      <c r="J46" s="126"/>
      <c r="K46" s="203"/>
      <c r="L46" s="204"/>
      <c r="M46" s="256" t="s">
        <v>195</v>
      </c>
      <c r="N46" s="715">
        <v>6.4600000000000005E-2</v>
      </c>
      <c r="O46" s="246" t="b">
        <v>1</v>
      </c>
      <c r="Q46" s="9"/>
      <c r="R46" s="725" t="e">
        <f ca="1"/>
        <v>#VALUE!</v>
      </c>
      <c r="S46" s="279" t="e" cm="1">
        <f t="array" aca="1" ref="S46" ca="1">_xll.d.Dates_Act365(R45,R46)</f>
        <v>#VALUE!</v>
      </c>
      <c r="T46" s="607" t="e">
        <f ca="1"/>
        <v>#VALUE!</v>
      </c>
      <c r="U46" s="727" t="e">
        <f ca="1"/>
        <v>#VALUE!</v>
      </c>
      <c r="V46" s="740"/>
      <c r="W46" s="740"/>
      <c r="X46" s="740"/>
      <c r="Y46" s="740"/>
      <c r="Z46" s="740"/>
      <c r="AA46" s="203"/>
      <c r="AB46" s="204"/>
      <c r="AC46" s="777" t="s">
        <v>24</v>
      </c>
      <c r="AD46" s="275">
        <v>6.8000000000000005E-4</v>
      </c>
      <c r="AE46" s="206" t="b">
        <v>1</v>
      </c>
      <c r="AF46" s="439"/>
      <c r="AH46" s="439"/>
      <c r="AI46" s="439"/>
      <c r="AJ46" s="439"/>
      <c r="AK46" s="439"/>
      <c r="AM46" s="783">
        <v>53055</v>
      </c>
      <c r="AN46" s="761">
        <v>0.85641643828217151</v>
      </c>
      <c r="AO46" s="784" cm="1">
        <f t="array" aca="1" ref="AO46" ca="1">_xll.d.Curve_GetDiscountFactors($AE$27,AM46)</f>
        <v>0.85640111401297891</v>
      </c>
      <c r="AP46" s="750" t="str" cm="1">
        <f t="array" aca="1" ref="AP46" ca="1">_xll.d.TestUtils_Equal(AN46,AO46,0.0001)</f>
        <v>Ok</v>
      </c>
      <c r="AQ46" s="203"/>
      <c r="AR46" s="204"/>
      <c r="AS46" s="777" t="s">
        <v>24</v>
      </c>
      <c r="AT46" s="275">
        <v>7.1799999999999998E-3</v>
      </c>
      <c r="AU46" s="206" t="b">
        <v>1</v>
      </c>
      <c r="BC46" s="783">
        <v>53786</v>
      </c>
      <c r="BD46" s="761">
        <v>0.60407419555991859</v>
      </c>
      <c r="BE46" s="784">
        <f ca="1"/>
        <v>0.60416443029590539</v>
      </c>
      <c r="BF46" s="747" t="str" cm="1">
        <f t="array" aca="1" ref="BF46" ca="1">_xll.d.TestUtils_Equal(BD46,BE46,0.001)</f>
        <v>Ok</v>
      </c>
      <c r="BG46" s="54"/>
      <c r="BH46" s="256" t="s">
        <v>195</v>
      </c>
      <c r="BI46" s="715">
        <v>1.6659999999999998E-2</v>
      </c>
      <c r="BJ46" s="246" t="b">
        <v>1</v>
      </c>
      <c r="BL46" s="54"/>
      <c r="BN46" s="725" t="e">
        <f ca="1"/>
        <v>#VALUE!</v>
      </c>
      <c r="BO46" s="279" t="e" cm="1">
        <f t="array" aca="1" ref="BO46" ca="1">_xll.d.Dates_Act365(BN45,BN46)</f>
        <v>#VALUE!</v>
      </c>
      <c r="BP46" s="607" t="e">
        <f ca="1"/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 t="e">
        <f ca="1"/>
        <v>#VALUE!</v>
      </c>
      <c r="H47" s="279" t="e" cm="1">
        <f t="array" aca="1" ref="H47" ca="1">_xll.d.Dates_Act365(G46,G47)</f>
        <v>#VALUE!</v>
      </c>
      <c r="I47" s="607" t="e">
        <f ca="1"/>
        <v>#VALUE!</v>
      </c>
      <c r="J47" s="126"/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5" t="e">
        <f ca="1"/>
        <v>#VALUE!</v>
      </c>
      <c r="S47" s="279" t="e" cm="1">
        <f t="array" aca="1" ref="S47" ca="1">_xll.d.Dates_Act365(R46,R47)</f>
        <v>#VALUE!</v>
      </c>
      <c r="T47" s="607" t="e">
        <f ca="1"/>
        <v>#VALUE!</v>
      </c>
      <c r="U47" s="727" t="e">
        <f ca="1"/>
        <v>#VALUE!</v>
      </c>
      <c r="V47" s="740"/>
      <c r="W47" s="740"/>
      <c r="X47" s="740"/>
      <c r="Y47" s="740"/>
      <c r="Z47" s="740"/>
      <c r="AA47" s="203"/>
      <c r="AB47" s="204"/>
      <c r="AC47" s="777" t="s">
        <v>606</v>
      </c>
      <c r="AD47" s="275">
        <v>6.7000000000000002E-4</v>
      </c>
      <c r="AE47" s="206" t="b">
        <v>1</v>
      </c>
      <c r="AF47" s="439"/>
      <c r="AH47" s="439"/>
      <c r="AI47" s="439"/>
      <c r="AJ47" s="439"/>
      <c r="AK47" s="439"/>
      <c r="AM47" s="785">
        <v>54882</v>
      </c>
      <c r="AN47" s="786">
        <v>0.82945903335872884</v>
      </c>
      <c r="AO47" s="787" cm="1">
        <f t="array" aca="1" ref="AO47" ca="1">_xll.d.Curve_GetDiscountFactors($AE$27,AM47)</f>
        <v>0.8294441036934771</v>
      </c>
      <c r="AP47" s="750" t="str" cm="1">
        <f t="array" aca="1" ref="AP47" ca="1">_xll.d.TestUtils_Equal(AN47,AO47,0.0001)</f>
        <v>Ok</v>
      </c>
      <c r="AQ47" s="203"/>
      <c r="AR47" s="204"/>
      <c r="AS47" s="777" t="s">
        <v>606</v>
      </c>
      <c r="AT47" s="275">
        <v>8.5599999999999999E-3</v>
      </c>
      <c r="AU47" s="206" t="b">
        <v>1</v>
      </c>
      <c r="BC47" s="785">
        <v>55613</v>
      </c>
      <c r="BD47" s="786">
        <v>0.56044847306900425</v>
      </c>
      <c r="BE47" s="787">
        <f ca="1"/>
        <v>0.56052710527539384</v>
      </c>
      <c r="BF47" s="747" t="str" cm="1">
        <f t="array" aca="1" ref="BF47" ca="1">_xll.d.TestUtils_Equal(BD47,BE47,0.001)</f>
        <v>Ok</v>
      </c>
      <c r="BG47" s="54"/>
      <c r="BH47" s="257" t="s">
        <v>196</v>
      </c>
      <c r="BI47" s="716">
        <v>2.2985999999999999E-2</v>
      </c>
      <c r="BJ47" s="243" t="b">
        <v>1</v>
      </c>
      <c r="BL47" s="54"/>
      <c r="BM47" s="612"/>
      <c r="BN47" s="725" t="e">
        <f ca="1"/>
        <v>#VALUE!</v>
      </c>
      <c r="BO47" s="279" t="e" cm="1">
        <f t="array" aca="1" ref="BO47" ca="1">_xll.d.Dates_Act365(BN46,BN47)</f>
        <v>#VALUE!</v>
      </c>
      <c r="BP47" s="607" t="e">
        <f ca="1"/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1" t="e">
        <f ca="1"/>
        <v>#VALUE!</v>
      </c>
      <c r="H48" s="191" t="e" cm="1">
        <f t="array" aca="1" ref="H48" ca="1">_xll.d.Dates_Act365(G47,G48)</f>
        <v>#VALUE!</v>
      </c>
      <c r="I48" s="608" t="e">
        <f ca="1"/>
        <v>#VALUE!</v>
      </c>
      <c r="J48" s="128"/>
      <c r="K48" s="203"/>
      <c r="L48" s="204"/>
      <c r="M48" s="257" t="s">
        <v>197</v>
      </c>
      <c r="N48" s="716">
        <v>6.2100000000000002E-2</v>
      </c>
      <c r="O48" s="243" t="b">
        <v>1</v>
      </c>
      <c r="R48" s="725" t="e">
        <f ca="1"/>
        <v>#VALUE!</v>
      </c>
      <c r="S48" s="279" t="e" cm="1">
        <f t="array" aca="1" ref="S48" ca="1">_xll.d.Dates_Act365(R47,R48)</f>
        <v>#VALUE!</v>
      </c>
      <c r="T48" s="607" t="e">
        <f ca="1"/>
        <v>#VALUE!</v>
      </c>
      <c r="U48" s="727" t="e">
        <f ca="1"/>
        <v>#VALUE!</v>
      </c>
      <c r="V48" s="740"/>
      <c r="W48" s="740"/>
      <c r="X48" s="740"/>
      <c r="Y48" s="740"/>
      <c r="Z48" s="740"/>
      <c r="AA48" s="203"/>
      <c r="AB48" s="204"/>
      <c r="AC48" s="777" t="s">
        <v>607</v>
      </c>
      <c r="AD48" s="275">
        <v>6.6E-4</v>
      </c>
      <c r="AE48" s="206" t="b">
        <v>1</v>
      </c>
      <c r="AF48" s="439"/>
      <c r="AH48" s="439"/>
      <c r="AI48" s="439"/>
      <c r="AJ48" s="439"/>
      <c r="AK48" s="439"/>
      <c r="AQ48" s="203"/>
      <c r="AR48" s="204"/>
      <c r="AS48" s="777" t="s">
        <v>607</v>
      </c>
      <c r="AT48" s="275">
        <v>1.0089999999999998E-2</v>
      </c>
      <c r="AU48" s="206" t="b">
        <v>1</v>
      </c>
      <c r="BG48" s="54"/>
      <c r="BH48" s="257" t="s">
        <v>197</v>
      </c>
      <c r="BI48" s="716">
        <v>2.7650999999999998E-2</v>
      </c>
      <c r="BJ48" s="243" t="b">
        <v>1</v>
      </c>
      <c r="BL48" s="54"/>
      <c r="BN48" s="725" t="e">
        <f ca="1"/>
        <v>#VALUE!</v>
      </c>
      <c r="BO48" s="279" t="e" cm="1">
        <f t="array" aca="1" ref="BO48" ca="1">_xll.d.Dates_Act365(BN47,BN48)</f>
        <v>#VALUE!</v>
      </c>
      <c r="BP48" s="607" t="e">
        <f ca="1"/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K49" s="203"/>
      <c r="L49" s="204"/>
      <c r="M49" s="713" t="s">
        <v>588</v>
      </c>
      <c r="N49" s="716">
        <v>6.1800000000000001E-2</v>
      </c>
      <c r="O49" s="243" t="b">
        <v>1</v>
      </c>
      <c r="Q49" s="612"/>
      <c r="R49" s="725" t="e">
        <f ca="1"/>
        <v>#VALUE!</v>
      </c>
      <c r="S49" s="279" t="e" cm="1">
        <f t="array" aca="1" ref="S49" ca="1">_xll.d.Dates_Act365(R48,R49)</f>
        <v>#VALUE!</v>
      </c>
      <c r="T49" s="607" t="e">
        <f ca="1"/>
        <v>#VALUE!</v>
      </c>
      <c r="U49" s="727" t="e">
        <f ca="1"/>
        <v>#VALUE!</v>
      </c>
      <c r="V49" s="740"/>
      <c r="W49" s="740"/>
      <c r="X49" s="740"/>
      <c r="Y49" s="740"/>
      <c r="Z49" s="740"/>
      <c r="AA49" s="203"/>
      <c r="AB49" s="204"/>
      <c r="AC49" s="777" t="s">
        <v>27</v>
      </c>
      <c r="AD49" s="275">
        <v>6.6E-4</v>
      </c>
      <c r="AE49" s="206" t="b">
        <v>1</v>
      </c>
      <c r="AF49" s="439"/>
      <c r="AH49" s="294" t="s">
        <v>557</v>
      </c>
      <c r="AI49" s="295"/>
      <c r="AJ49" s="295"/>
      <c r="AK49" s="296"/>
      <c r="AQ49" s="203"/>
      <c r="AR49" s="204"/>
      <c r="AS49" s="777" t="s">
        <v>27</v>
      </c>
      <c r="AT49" s="275">
        <v>1.1180000000000001E-2</v>
      </c>
      <c r="AU49" s="206" t="b">
        <v>1</v>
      </c>
      <c r="AX49" s="294" t="s">
        <v>557</v>
      </c>
      <c r="AY49" s="295"/>
      <c r="AZ49" s="295"/>
      <c r="BA49" s="296"/>
      <c r="BG49" s="54"/>
      <c r="BH49" s="713" t="s">
        <v>588</v>
      </c>
      <c r="BI49" s="716">
        <v>3.0550000000000001E-2</v>
      </c>
      <c r="BJ49" s="243" t="b">
        <v>1</v>
      </c>
      <c r="BL49" s="54"/>
      <c r="BN49" s="725" t="e">
        <f ca="1"/>
        <v>#VALUE!</v>
      </c>
      <c r="BO49" s="279" t="e" cm="1">
        <f t="array" aca="1" ref="BO49" ca="1">_xll.d.Dates_Act365(BN48,BN49)</f>
        <v>#VALUE!</v>
      </c>
      <c r="BP49" s="607" t="e">
        <f ca="1"/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294" t="s">
        <v>557</v>
      </c>
      <c r="H50" s="295"/>
      <c r="I50" s="295"/>
      <c r="J50" s="296"/>
      <c r="K50" s="203"/>
      <c r="L50" s="204"/>
      <c r="M50" s="713" t="s">
        <v>589</v>
      </c>
      <c r="N50" s="716">
        <v>6.2100000000000002E-2</v>
      </c>
      <c r="O50" s="243" t="b">
        <v>1</v>
      </c>
      <c r="R50" s="725" t="e">
        <f ca="1"/>
        <v>#VALUE!</v>
      </c>
      <c r="S50" s="279" t="e" cm="1">
        <f t="array" aca="1" ref="S50" ca="1">_xll.d.Dates_Act365(R49,R50)</f>
        <v>#VALUE!</v>
      </c>
      <c r="T50" s="607" t="e">
        <f ca="1"/>
        <v>#VALUE!</v>
      </c>
      <c r="U50" s="727" t="e">
        <f ca="1"/>
        <v>#VALUE!</v>
      </c>
      <c r="V50" s="740"/>
      <c r="W50" s="740"/>
      <c r="X50" s="740"/>
      <c r="Y50" s="740"/>
      <c r="Z50" s="740"/>
      <c r="AA50" s="203"/>
      <c r="AB50" s="204"/>
      <c r="AC50" s="777" t="s">
        <v>28</v>
      </c>
      <c r="AD50" s="275">
        <v>6.6E-4</v>
      </c>
      <c r="AE50" s="206" t="b">
        <v>1</v>
      </c>
      <c r="AF50" s="439"/>
      <c r="AH50" s="503" t="s">
        <v>22</v>
      </c>
      <c r="AI50" s="624" t="s">
        <v>67</v>
      </c>
      <c r="AJ50" s="624" t="s">
        <v>68</v>
      </c>
      <c r="AK50" s="625" t="s">
        <v>69</v>
      </c>
      <c r="AQ50" s="203"/>
      <c r="AR50" s="204"/>
      <c r="AS50" s="777" t="s">
        <v>28</v>
      </c>
      <c r="AT50" s="275">
        <v>1.4579999999999999E-2</v>
      </c>
      <c r="AU50" s="206" t="b">
        <v>1</v>
      </c>
      <c r="AX50" s="503" t="s">
        <v>22</v>
      </c>
      <c r="AY50" s="624" t="s">
        <v>67</v>
      </c>
      <c r="AZ50" s="624" t="s">
        <v>68</v>
      </c>
      <c r="BA50" s="625" t="s">
        <v>69</v>
      </c>
      <c r="BG50" s="54"/>
      <c r="BH50" s="713" t="s">
        <v>589</v>
      </c>
      <c r="BI50" s="716">
        <v>3.1827000000000001E-2</v>
      </c>
      <c r="BJ50" s="243" t="b">
        <v>1</v>
      </c>
      <c r="BL50" s="54"/>
      <c r="BN50" s="725" t="e">
        <f ca="1"/>
        <v>#VALUE!</v>
      </c>
      <c r="BO50" s="279" t="e" cm="1">
        <f t="array" aca="1" ref="BO50" ca="1">_xll.d.Dates_Act365(BN49,BN50)</f>
        <v>#VALUE!</v>
      </c>
      <c r="BP50" s="607" t="e">
        <f ca="1"/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503" t="s">
        <v>22</v>
      </c>
      <c r="H51" s="624" t="s">
        <v>67</v>
      </c>
      <c r="I51" s="624" t="s">
        <v>68</v>
      </c>
      <c r="J51" s="625" t="s">
        <v>69</v>
      </c>
      <c r="K51" s="203"/>
      <c r="L51" s="204"/>
      <c r="M51" s="713" t="s">
        <v>590</v>
      </c>
      <c r="N51" s="716">
        <v>6.2600000000000003E-2</v>
      </c>
      <c r="O51" s="243" t="b">
        <v>1</v>
      </c>
      <c r="R51" s="725" t="e">
        <f ca="1"/>
        <v>#VALUE!</v>
      </c>
      <c r="S51" s="279" t="e" cm="1">
        <f t="array" aca="1" ref="S51" ca="1">_xll.d.Dates_Act365(R50,R51)</f>
        <v>#VALUE!</v>
      </c>
      <c r="T51" s="607" t="e">
        <f ca="1"/>
        <v>#VALUE!</v>
      </c>
      <c r="U51" s="727" t="e">
        <f ca="1"/>
        <v>#VALUE!</v>
      </c>
      <c r="V51" s="740"/>
      <c r="W51" s="740"/>
      <c r="X51" s="740"/>
      <c r="Y51" s="740"/>
      <c r="Z51" s="740"/>
      <c r="AA51" s="203"/>
      <c r="AB51" s="204"/>
      <c r="AC51" s="777" t="s">
        <v>593</v>
      </c>
      <c r="AD51" s="275">
        <v>6.9000000000000008E-4</v>
      </c>
      <c r="AE51" s="206" t="b">
        <v>1</v>
      </c>
      <c r="AF51" s="439"/>
      <c r="AH51" s="626" t="s">
        <v>49</v>
      </c>
      <c r="AI51" s="736" t="e">
        <f ca="1">SUMPRODUCT(AI37,AJ37,AK37)/SUMPRODUCT(AI37,AK37)</f>
        <v>#VALUE!</v>
      </c>
      <c r="AJ51" s="736">
        <f>AD51</f>
        <v>6.9000000000000008E-4</v>
      </c>
      <c r="AK51" s="195" t="str" cm="1">
        <f t="array" aca="1" ref="AK51" ca="1">_xll.d.TestUtils_Equal(AI51,AJ51,0.00001)</f>
        <v>Error</v>
      </c>
      <c r="AL51" s="775"/>
      <c r="AQ51" s="203"/>
      <c r="AR51" s="204"/>
      <c r="AS51" s="777" t="s">
        <v>593</v>
      </c>
      <c r="AT51" s="275">
        <v>1.7310000000000002E-2</v>
      </c>
      <c r="AU51" s="206" t="b">
        <v>1</v>
      </c>
      <c r="AX51" s="626" t="s">
        <v>49</v>
      </c>
      <c r="AY51" s="736" t="e">
        <f ca="1">SUMPRODUCT(AY37,AZ37,BA37)/SUMPRODUCT(AY37,BA37)</f>
        <v>#VALUE!</v>
      </c>
      <c r="AZ51" s="736">
        <f>AT51</f>
        <v>1.7310000000000002E-2</v>
      </c>
      <c r="BA51" s="195" t="str" cm="1">
        <f t="array" aca="1" ref="BA51" ca="1">_xll.d.TestUtils_Equal(AY51,AZ51,0.00001)</f>
        <v>Error</v>
      </c>
      <c r="BB51" s="775"/>
      <c r="BG51" s="54"/>
      <c r="BH51" s="713" t="s">
        <v>590</v>
      </c>
      <c r="BI51" s="716">
        <v>3.1489999999999997E-2</v>
      </c>
      <c r="BJ51" s="243" t="b">
        <v>1</v>
      </c>
      <c r="BL51" s="54"/>
      <c r="BN51" s="725" t="e">
        <f ca="1"/>
        <v>#VALUE!</v>
      </c>
      <c r="BO51" s="279" t="e" cm="1">
        <f t="array" aca="1" ref="BO51" ca="1">_xll.d.Dates_Act365(BN50,BN51)</f>
        <v>#VALUE!</v>
      </c>
      <c r="BP51" s="607" t="e">
        <f ca="1"/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26" t="s">
        <v>50</v>
      </c>
      <c r="H52" s="194" t="e">
        <f ca="1">SUMPRODUCT(H37:H44,I37:I44,J37:J44)/SUMPRODUCT(H37:H44,J37:J44)</f>
        <v>#VALUE!</v>
      </c>
      <c r="I52" s="194">
        <f>C52</f>
        <v>0.1</v>
      </c>
      <c r="J52" s="195" t="str" cm="1">
        <f t="array" aca="1" ref="J52" ca="1">_xll.d.TestUtils_Equal(H52,I52,0.00001)</f>
        <v>Error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 t="e">
        <f ca="1"/>
        <v>#VALUE!</v>
      </c>
      <c r="S52" s="279" t="e" cm="1">
        <f t="array" aca="1" ref="S52" ca="1">_xll.d.Dates_Act365(R51,R52)</f>
        <v>#VALUE!</v>
      </c>
      <c r="T52" s="607" t="e">
        <f ca="1"/>
        <v>#VALUE!</v>
      </c>
      <c r="U52" s="727" t="e">
        <f ca="1"/>
        <v>#VALUE!</v>
      </c>
      <c r="V52" s="740"/>
      <c r="W52" s="740"/>
      <c r="X52" s="740"/>
      <c r="Y52" s="740"/>
      <c r="Z52" s="740"/>
      <c r="AA52" s="203"/>
      <c r="AB52" s="204"/>
      <c r="AC52" s="777" t="s">
        <v>596</v>
      </c>
      <c r="AD52" s="275">
        <v>7.9000000000000001E-4</v>
      </c>
      <c r="AE52" s="206" t="b">
        <v>1</v>
      </c>
      <c r="AF52" s="439"/>
      <c r="AH52" s="743" t="s">
        <v>50</v>
      </c>
      <c r="AI52" s="744" t="e">
        <f t="array" aca="1" ref="AI52" ca="1">SUMPRODUCT(AI37:AI38,AJ37:AJ38,AK37:AK38)/SUMPRODUCT(AI37:AI38,AK37:AK38)</f>
        <v>#VALUE!</v>
      </c>
      <c r="AJ52" s="744">
        <f>AD53</f>
        <v>8.3000000000000001E-4</v>
      </c>
      <c r="AK52" s="686" t="str" cm="1">
        <f t="array" aca="1" ref="AK52" ca="1">_xll.d.TestUtils_Equal(AI52,AJ52,0.00001)</f>
        <v>Error</v>
      </c>
      <c r="AL52" s="775"/>
      <c r="AQ52" s="203"/>
      <c r="AR52" s="204"/>
      <c r="AS52" s="777" t="s">
        <v>596</v>
      </c>
      <c r="AT52" s="275">
        <v>2.0879999999999999E-2</v>
      </c>
      <c r="AU52" s="206" t="b">
        <v>1</v>
      </c>
      <c r="AX52" s="743" t="s">
        <v>50</v>
      </c>
      <c r="AY52" s="744" t="e">
        <f t="array" aca="1" ref="AY52" ca="1">SUMPRODUCT(AY37:AY38,AZ37:AZ38,BA37:BA38)/SUMPRODUCT(AY37:AY38,BA37:BA38)</f>
        <v>#VALUE!</v>
      </c>
      <c r="AZ52" s="744">
        <f>AT53</f>
        <v>2.3050000000000001E-2</v>
      </c>
      <c r="BA52" s="686" t="str" cm="1">
        <f t="array" aca="1" ref="BA52" ca="1">_xll.d.TestUtils_Equal(AY52,AZ52,0.00001)</f>
        <v>Error</v>
      </c>
      <c r="BB52" s="775"/>
      <c r="BG52" s="54"/>
      <c r="BH52" s="714"/>
      <c r="BI52" s="717"/>
      <c r="BJ52" s="245"/>
      <c r="BL52" s="54"/>
      <c r="BN52" s="725" t="e">
        <f ca="1"/>
        <v>#VALUE!</v>
      </c>
      <c r="BO52" s="279" t="e" cm="1">
        <f t="array" aca="1" ref="BO52" ca="1">_xll.d.Dates_Act365(BN51,BN52)</f>
        <v>#VALUE!</v>
      </c>
      <c r="BP52" s="607" t="e">
        <f ca="1"/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27" t="s">
        <v>54</v>
      </c>
      <c r="H53" s="628" t="e">
        <f ca="1">SUMPRODUCT(H37:H48,I37:I48,J37:J48)/SUMPRODUCT(H37:H48,J37:J48)</f>
        <v>#VALUE!</v>
      </c>
      <c r="I53" s="628">
        <f>C53</f>
        <v>0.1</v>
      </c>
      <c r="J53" s="198" t="str" cm="1">
        <f t="array" aca="1" ref="J53" ca="1">_xll.d.TestUtils_Equal(H53,I53,0.00001)</f>
        <v>Error</v>
      </c>
      <c r="K53" s="203"/>
      <c r="L53" s="204"/>
      <c r="M53" s="710"/>
      <c r="N53" s="711"/>
      <c r="O53" s="712"/>
      <c r="R53" s="725" t="e">
        <f ca="1"/>
        <v>#VALUE!</v>
      </c>
      <c r="S53" s="279" t="e" cm="1">
        <f t="array" aca="1" ref="S53" ca="1">_xll.d.Dates_Act365(R52,R53)</f>
        <v>#VALUE!</v>
      </c>
      <c r="T53" s="607" t="e">
        <f ca="1"/>
        <v>#VALUE!</v>
      </c>
      <c r="U53" s="727" t="e">
        <f ca="1"/>
        <v>#VALUE!</v>
      </c>
      <c r="V53" s="740"/>
      <c r="W53" s="740"/>
      <c r="X53" s="740"/>
      <c r="Y53" s="740"/>
      <c r="Z53" s="740"/>
      <c r="AA53" s="203"/>
      <c r="AB53" s="204"/>
      <c r="AC53" s="777" t="s">
        <v>50</v>
      </c>
      <c r="AD53" s="275">
        <v>8.3000000000000001E-4</v>
      </c>
      <c r="AE53" s="206" t="b">
        <v>1</v>
      </c>
      <c r="AF53" s="439"/>
      <c r="AH53" s="745" t="s">
        <v>54</v>
      </c>
      <c r="AI53" s="744" t="e">
        <f ca="1">SUMPRODUCT(AI37:AI39,AJ37:AJ39,AK37:AK39)/SUMPRODUCT(AI37:AI39,AK37:AK39)</f>
        <v>#VALUE!</v>
      </c>
      <c r="AJ53" s="746">
        <f>AD54</f>
        <v>1.16E-3</v>
      </c>
      <c r="AK53" s="686" t="str" cm="1">
        <f t="array" aca="1" ref="AK53" ca="1">_xll.d.TestUtils_Equal(AI53,AJ53,0.00001)</f>
        <v>Error</v>
      </c>
      <c r="AL53" s="775"/>
      <c r="AQ53" s="203"/>
      <c r="AR53" s="204"/>
      <c r="AS53" s="777" t="s">
        <v>50</v>
      </c>
      <c r="AT53" s="275">
        <v>2.3050000000000001E-2</v>
      </c>
      <c r="AU53" s="206" t="b">
        <v>1</v>
      </c>
      <c r="AX53" s="745" t="s">
        <v>54</v>
      </c>
      <c r="AY53" s="744" t="e">
        <f ca="1">SUMPRODUCT(AY37:AY39,AZ37:AZ39,BA37:BA39)/SUMPRODUCT(AY37:AY39,BA37:BA39)</f>
        <v>#VALUE!</v>
      </c>
      <c r="AZ53" s="746">
        <f>AT54</f>
        <v>2.3450000000000002E-2</v>
      </c>
      <c r="BA53" s="686" t="str" cm="1">
        <f t="array" aca="1" ref="BA53" ca="1">_xll.d.TestUtils_Equal(AY53,AZ53,0.00001)</f>
        <v>Error</v>
      </c>
      <c r="BB53" s="775"/>
      <c r="BG53" s="54"/>
      <c r="BH53" s="710"/>
      <c r="BI53" s="711"/>
      <c r="BJ53" s="712"/>
      <c r="BL53" s="54"/>
      <c r="BN53" s="725" t="e">
        <f ca="1"/>
        <v>#VALUE!</v>
      </c>
      <c r="BO53" s="279" t="e" cm="1">
        <f t="array" aca="1" ref="BO53" ca="1">_xll.d.Dates_Act365(BN52,BN53)</f>
        <v>#VALUE!</v>
      </c>
      <c r="BP53" s="607" t="e">
        <f ca="1"/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K54" s="203"/>
      <c r="L54" s="204"/>
      <c r="M54" s="12" t="s">
        <v>40</v>
      </c>
      <c r="N54" s="27"/>
      <c r="O54" s="13"/>
      <c r="R54" s="725" t="e">
        <f ca="1"/>
        <v>#VALUE!</v>
      </c>
      <c r="S54" s="279" t="e" cm="1">
        <f t="array" aca="1" ref="S54" ca="1">_xll.d.Dates_Act365(R53,R54)</f>
        <v>#VALUE!</v>
      </c>
      <c r="T54" s="607" t="e">
        <f ca="1"/>
        <v>#VALUE!</v>
      </c>
      <c r="U54" s="727" t="e">
        <f ca="1"/>
        <v>#VALUE!</v>
      </c>
      <c r="V54" s="740"/>
      <c r="W54" s="740"/>
      <c r="X54" s="740"/>
      <c r="Y54" s="740"/>
      <c r="Z54" s="740"/>
      <c r="AA54" s="203"/>
      <c r="AB54" s="204"/>
      <c r="AC54" s="777" t="s">
        <v>54</v>
      </c>
      <c r="AD54" s="275">
        <v>1.16E-3</v>
      </c>
      <c r="AE54" s="206" t="b">
        <v>1</v>
      </c>
      <c r="AF54" s="439"/>
      <c r="AH54" s="743" t="s">
        <v>592</v>
      </c>
      <c r="AI54" s="744" t="e">
        <f ca="1">SUMPRODUCT(AI$37:AI40,AJ$37:AJ40,AK$37:AK40)/SUMPRODUCT(AI$37:AI40,AK$37:AK40)</f>
        <v>#VALUE!</v>
      </c>
      <c r="AJ54" s="744">
        <f>AD55</f>
        <v>1.6000000000000001E-3</v>
      </c>
      <c r="AK54" s="686" t="str" cm="1">
        <f t="array" aca="1" ref="AK54" ca="1">_xll.d.TestUtils_Equal(AI54,AJ54,0.00001)</f>
        <v>Error</v>
      </c>
      <c r="AL54" s="775"/>
      <c r="AQ54" s="203"/>
      <c r="AR54" s="204"/>
      <c r="AS54" s="777" t="s">
        <v>54</v>
      </c>
      <c r="AT54" s="275">
        <v>2.3450000000000002E-2</v>
      </c>
      <c r="AU54" s="206" t="b">
        <v>1</v>
      </c>
      <c r="AX54" s="743" t="s">
        <v>592</v>
      </c>
      <c r="AY54" s="744" t="e">
        <f ca="1">SUMPRODUCT(AY$37:AY40,AZ$37:AZ40,BA$37:BA40)/SUMPRODUCT(AY$37:AY40,BA$37:BA40)</f>
        <v>#VALUE!</v>
      </c>
      <c r="AZ54" s="744">
        <f>AT55</f>
        <v>2.2850000000000002E-2</v>
      </c>
      <c r="BA54" s="686" t="str" cm="1">
        <f t="array" aca="1" ref="BA54" ca="1">_xll.d.TestUtils_Equal(AY54,AZ54,0.00001)</f>
        <v>Error</v>
      </c>
      <c r="BB54" s="775"/>
      <c r="BG54" s="54"/>
      <c r="BH54" s="12" t="s">
        <v>40</v>
      </c>
      <c r="BI54" s="27"/>
      <c r="BJ54" s="13"/>
      <c r="BL54" s="54"/>
      <c r="BN54" s="725" t="e">
        <f ca="1"/>
        <v>#VALUE!</v>
      </c>
      <c r="BO54" s="279" t="e" cm="1">
        <f t="array" aca="1" ref="BO54" ca="1">_xll.d.Dates_Act365(BN53,BN54)</f>
        <v>#VALUE!</v>
      </c>
      <c r="BP54" s="607" t="e">
        <f ca="1"/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G55" t="s">
        <v>215</v>
      </c>
      <c r="K55" s="203"/>
      <c r="L55" s="204"/>
      <c r="M55" s="62" t="s">
        <v>35</v>
      </c>
      <c r="N55" s="63" t="s">
        <v>36</v>
      </c>
      <c r="O55" s="64" t="s">
        <v>42</v>
      </c>
      <c r="R55" s="725" t="e">
        <f ca="1"/>
        <v>#VALUE!</v>
      </c>
      <c r="S55" s="279" t="e" cm="1">
        <f t="array" aca="1" ref="S55" ca="1">_xll.d.Dates_Act365(R54,R55)</f>
        <v>#VALUE!</v>
      </c>
      <c r="T55" s="607" t="e">
        <f ca="1"/>
        <v>#VALUE!</v>
      </c>
      <c r="U55" s="727" t="e">
        <f ca="1"/>
        <v>#VALUE!</v>
      </c>
      <c r="V55" s="740"/>
      <c r="W55" s="740"/>
      <c r="X55" s="740"/>
      <c r="Y55" s="740"/>
      <c r="Z55" s="740"/>
      <c r="AA55" s="203"/>
      <c r="AB55" s="204"/>
      <c r="AC55" s="777" t="s">
        <v>592</v>
      </c>
      <c r="AD55" s="275">
        <v>1.6000000000000001E-3</v>
      </c>
      <c r="AE55" s="206" t="b">
        <v>1</v>
      </c>
      <c r="AF55" s="439"/>
      <c r="AH55" s="745" t="s">
        <v>599</v>
      </c>
      <c r="AI55" s="744" t="e">
        <f ca="1">SUMPRODUCT(AI$37:AI41,AJ$37:AJ41,AK$37:AK41)/SUMPRODUCT(AI$37:AI41,AK$37:AK41)</f>
        <v>#VALUE!</v>
      </c>
      <c r="AJ55" s="746">
        <f>AD56</f>
        <v>2.1299999999999999E-3</v>
      </c>
      <c r="AK55" s="686" t="str" cm="1">
        <f t="array" aca="1" ref="AK55" ca="1">_xll.d.TestUtils_Equal(AI55,AJ55,0.00001)</f>
        <v>Error</v>
      </c>
      <c r="AL55" s="775"/>
      <c r="AQ55" s="203"/>
      <c r="AR55" s="204"/>
      <c r="AS55" s="777" t="s">
        <v>592</v>
      </c>
      <c r="AT55" s="275">
        <v>2.2850000000000002E-2</v>
      </c>
      <c r="AU55" s="206" t="b">
        <v>1</v>
      </c>
      <c r="AX55" s="745" t="s">
        <v>599</v>
      </c>
      <c r="AY55" s="744" t="e">
        <f ca="1">SUMPRODUCT(AY$37:AY41,AZ$37:AZ41,BA$37:BA41)/SUMPRODUCT(AY$37:AY41,BA$37:BA41)</f>
        <v>#VALUE!</v>
      </c>
      <c r="AZ55" s="746">
        <f>AT56</f>
        <v>2.2099999999999998E-2</v>
      </c>
      <c r="BA55" s="686" t="str" cm="1">
        <f t="array" aca="1" ref="BA55" ca="1">_xll.d.TestUtils_Equal(AY55,AZ55,0.00001)</f>
        <v>Error</v>
      </c>
      <c r="BB55" s="775"/>
      <c r="BG55" s="54"/>
      <c r="BH55" s="62" t="s">
        <v>35</v>
      </c>
      <c r="BI55" s="63" t="s">
        <v>36</v>
      </c>
      <c r="BJ55" s="64" t="s">
        <v>42</v>
      </c>
      <c r="BL55" s="54"/>
      <c r="BN55" s="725" t="e">
        <f ca="1"/>
        <v>#VALUE!</v>
      </c>
      <c r="BO55" s="279" t="e" cm="1">
        <f t="array" aca="1" ref="BO55" ca="1">_xll.d.Dates_Act365(BN54,BN55)</f>
        <v>#VALUE!</v>
      </c>
      <c r="BP55" s="607" t="e">
        <f ca="1"/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G56" s="268" t="s">
        <v>214</v>
      </c>
      <c r="K56" s="203"/>
      <c r="L56" s="204"/>
      <c r="M56" s="718" t="s">
        <v>54</v>
      </c>
      <c r="N56" s="719">
        <v>6.3899999999999998E-2</v>
      </c>
      <c r="O56" s="217" t="b">
        <v>1</v>
      </c>
      <c r="R56" s="725" t="e">
        <f ca="1"/>
        <v>#VALUE!</v>
      </c>
      <c r="S56" s="279" t="e" cm="1">
        <f t="array" aca="1" ref="S56" ca="1">_xll.d.Dates_Act365(R55,R56)</f>
        <v>#VALUE!</v>
      </c>
      <c r="T56" s="607" t="e">
        <f ca="1"/>
        <v>#VALUE!</v>
      </c>
      <c r="U56" s="727" t="e">
        <f ca="1"/>
        <v>#VALUE!</v>
      </c>
      <c r="V56" s="740"/>
      <c r="W56" s="740"/>
      <c r="X56" s="740"/>
      <c r="Y56" s="740"/>
      <c r="Z56" s="740"/>
      <c r="AA56" s="203"/>
      <c r="AB56" s="204"/>
      <c r="AC56" s="777" t="s">
        <v>599</v>
      </c>
      <c r="AD56" s="275">
        <v>2.1299999999999999E-3</v>
      </c>
      <c r="AE56" s="206" t="b">
        <v>1</v>
      </c>
      <c r="AF56" s="439"/>
      <c r="AH56" s="627" t="s">
        <v>601</v>
      </c>
      <c r="AI56" s="737" t="e">
        <f ca="1">SUMPRODUCT(AI$37:AI43,AJ$37:AJ43,AK$37:AK43)/SUMPRODUCT(AI$37:AI43,AK$37:AK43)</f>
        <v>#VALUE!</v>
      </c>
      <c r="AJ56" s="737">
        <f>AD57</f>
        <v>3.14E-3</v>
      </c>
      <c r="AK56" s="198" t="str" cm="1">
        <f t="array" aca="1" ref="AK56" ca="1">_xll.d.TestUtils_Equal(AI56,AJ56,0.00001)</f>
        <v>Error</v>
      </c>
      <c r="AL56" s="775"/>
      <c r="AQ56" s="203"/>
      <c r="AR56" s="204"/>
      <c r="AS56" s="777" t="s">
        <v>599</v>
      </c>
      <c r="AT56" s="275">
        <v>2.2099999999999998E-2</v>
      </c>
      <c r="AU56" s="206" t="b">
        <v>1</v>
      </c>
      <c r="AX56" s="627" t="s">
        <v>601</v>
      </c>
      <c r="AY56" s="737" t="e">
        <f ca="1">SUMPRODUCT(AY$37:AY43,AZ$37:AZ43,BA$37:BA43)/SUMPRODUCT(AY$37:AY43,BA$37:BA43)</f>
        <v>#VALUE!</v>
      </c>
      <c r="AZ56" s="737">
        <f>AT57</f>
        <v>2.138E-2</v>
      </c>
      <c r="BA56" s="198" t="str" cm="1">
        <f t="array" aca="1" ref="BA56" ca="1">_xll.d.TestUtils_Equal(AY56,AZ56,0.00001)</f>
        <v>Error</v>
      </c>
      <c r="BB56" s="775"/>
      <c r="BG56" s="54"/>
      <c r="BH56" s="820" t="s">
        <v>50</v>
      </c>
      <c r="BI56" s="719">
        <v>2.5665E-2</v>
      </c>
      <c r="BJ56" s="217" t="b">
        <v>1</v>
      </c>
      <c r="BL56" s="54"/>
      <c r="BN56" s="725" t="e">
        <f ca="1"/>
        <v>#VALUE!</v>
      </c>
      <c r="BO56" s="279" t="e" cm="1">
        <f t="array" aca="1" ref="BO56" ca="1">_xll.d.Dates_Act365(BN55,BN56)</f>
        <v>#VALUE!</v>
      </c>
      <c r="BP56" s="607" t="e">
        <f ca="1"/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K57" s="203"/>
      <c r="L57" s="204"/>
      <c r="M57" s="713" t="s">
        <v>592</v>
      </c>
      <c r="N57" s="708">
        <v>6.5199999999999994E-2</v>
      </c>
      <c r="O57" s="221" t="b">
        <v>1</v>
      </c>
      <c r="R57" s="725" t="e">
        <f ca="1"/>
        <v>#VALUE!</v>
      </c>
      <c r="S57" s="279" t="e" cm="1">
        <f t="array" aca="1" ref="S57" ca="1">_xll.d.Dates_Act365(R56,R57)</f>
        <v>#VALUE!</v>
      </c>
      <c r="T57" s="607" t="e">
        <f ca="1"/>
        <v>#VALUE!</v>
      </c>
      <c r="U57" s="727" t="e">
        <f ca="1"/>
        <v>#VALUE!</v>
      </c>
      <c r="V57" s="740"/>
      <c r="W57" s="740"/>
      <c r="X57" s="740"/>
      <c r="Y57" s="740"/>
      <c r="Z57" s="740"/>
      <c r="AA57" s="203"/>
      <c r="AB57" s="204"/>
      <c r="AC57" s="777" t="s">
        <v>601</v>
      </c>
      <c r="AD57" s="275">
        <v>3.14E-3</v>
      </c>
      <c r="AE57" s="206" t="b">
        <v>1</v>
      </c>
      <c r="AF57" s="439"/>
      <c r="AH57" s="439"/>
      <c r="AI57" s="439"/>
      <c r="AJ57" s="439"/>
      <c r="AK57" s="439"/>
      <c r="AQ57" s="203"/>
      <c r="AR57" s="204"/>
      <c r="AS57" s="777" t="s">
        <v>601</v>
      </c>
      <c r="AT57" s="275">
        <v>2.138E-2</v>
      </c>
      <c r="AU57" s="206" t="b">
        <v>1</v>
      </c>
      <c r="BG57" s="54"/>
      <c r="BH57" s="821" t="s">
        <v>54</v>
      </c>
      <c r="BI57" s="708">
        <v>2.656E-2</v>
      </c>
      <c r="BJ57" s="221" t="b">
        <v>1</v>
      </c>
      <c r="BL57" s="54"/>
      <c r="BN57" s="725" t="e">
        <f ca="1"/>
        <v>#VALUE!</v>
      </c>
      <c r="BO57" s="279" t="e" cm="1">
        <f t="array" aca="1" ref="BO57" ca="1">_xll.d.Dates_Act365(BN56,BN57)</f>
        <v>#VALUE!</v>
      </c>
      <c r="BP57" s="607" t="e">
        <f ca="1"/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K58" s="203"/>
      <c r="L58" s="204"/>
      <c r="M58" s="741" t="s">
        <v>599</v>
      </c>
      <c r="N58" s="708">
        <v>6.6600000000000006E-2</v>
      </c>
      <c r="O58" s="221" t="b">
        <v>1</v>
      </c>
      <c r="R58" s="725" t="e">
        <f ca="1"/>
        <v>#VALUE!</v>
      </c>
      <c r="S58" s="279" t="e" cm="1">
        <f t="array" aca="1" ref="S58" ca="1">_xll.d.Dates_Act365(R57,R58)</f>
        <v>#VALUE!</v>
      </c>
      <c r="T58" s="607" t="e">
        <f ca="1"/>
        <v>#VALUE!</v>
      </c>
      <c r="U58" s="727" t="e">
        <f ca="1"/>
        <v>#VALUE!</v>
      </c>
      <c r="V58" s="740"/>
      <c r="W58" s="740"/>
      <c r="X58" s="740"/>
      <c r="Y58" s="740"/>
      <c r="Z58" s="740"/>
      <c r="AA58" s="203"/>
      <c r="AB58" s="204"/>
      <c r="AC58" s="777" t="s">
        <v>608</v>
      </c>
      <c r="AD58" s="275">
        <v>4.3299999999999996E-3</v>
      </c>
      <c r="AE58" s="206" t="b">
        <v>1</v>
      </c>
      <c r="AF58" s="439"/>
      <c r="AH58" s="298" t="s">
        <v>215</v>
      </c>
      <c r="AI58" s="439"/>
      <c r="AJ58" s="439"/>
      <c r="AK58" s="439"/>
      <c r="AQ58" s="203"/>
      <c r="AR58" s="204"/>
      <c r="AS58" s="777" t="s">
        <v>608</v>
      </c>
      <c r="AT58" s="275">
        <v>2.0969999999999999E-2</v>
      </c>
      <c r="AU58" s="206" t="b">
        <v>1</v>
      </c>
      <c r="AX58" s="298" t="s">
        <v>215</v>
      </c>
      <c r="BG58" s="54"/>
      <c r="BH58" s="821" t="s">
        <v>592</v>
      </c>
      <c r="BI58" s="708">
        <v>2.5990000000000003E-2</v>
      </c>
      <c r="BJ58" s="221" t="b">
        <v>1</v>
      </c>
      <c r="BL58" s="54"/>
      <c r="BN58" s="725" t="e">
        <f ca="1"/>
        <v>#VALUE!</v>
      </c>
      <c r="BO58" s="279" t="e" cm="1">
        <f t="array" aca="1" ref="BO58" ca="1">_xll.d.Dates_Act365(BN57,BN58)</f>
        <v>#VALUE!</v>
      </c>
      <c r="BP58" s="607" t="e">
        <f ca="1"/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>
      <c r="B59" s="4" t="s">
        <v>646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1" t="s">
        <v>600</v>
      </c>
      <c r="N59" s="708">
        <v>6.83E-2</v>
      </c>
      <c r="O59" s="221" t="b">
        <v>1</v>
      </c>
      <c r="R59" s="725" t="e">
        <f ca="1"/>
        <v>#VALUE!</v>
      </c>
      <c r="S59" s="279" t="e" cm="1">
        <f t="array" aca="1" ref="S59" ca="1">_xll.d.Dates_Act365(R58,R59)</f>
        <v>#VALUE!</v>
      </c>
      <c r="T59" s="607" t="e">
        <f ca="1"/>
        <v>#VALUE!</v>
      </c>
      <c r="U59" s="727" t="e">
        <f ca="1"/>
        <v>#VALUE!</v>
      </c>
      <c r="V59" s="740"/>
      <c r="W59" s="740"/>
      <c r="X59" s="740"/>
      <c r="Y59" s="740"/>
      <c r="Z59" s="740"/>
      <c r="AA59" s="203"/>
      <c r="AB59" s="204"/>
      <c r="AC59" s="777" t="s">
        <v>609</v>
      </c>
      <c r="AD59" s="275">
        <v>4.8799999999999998E-3</v>
      </c>
      <c r="AE59" s="206" t="b">
        <v>1</v>
      </c>
      <c r="AF59" s="439"/>
      <c r="AH59" s="268" t="s">
        <v>214</v>
      </c>
      <c r="AI59" s="439"/>
      <c r="AJ59" s="439"/>
      <c r="AK59" s="439"/>
      <c r="AQ59" s="203"/>
      <c r="AR59" s="204"/>
      <c r="AS59" s="777" t="s">
        <v>609</v>
      </c>
      <c r="AT59" s="275">
        <v>2.1000000000000001E-2</v>
      </c>
      <c r="AU59" s="206" t="b">
        <v>1</v>
      </c>
      <c r="AX59" s="268" t="s">
        <v>214</v>
      </c>
      <c r="BG59" s="54"/>
      <c r="BH59" s="821" t="s">
        <v>599</v>
      </c>
      <c r="BI59" s="708">
        <v>2.5137E-2</v>
      </c>
      <c r="BJ59" s="221" t="b">
        <v>1</v>
      </c>
      <c r="BL59" s="54"/>
      <c r="BN59" s="725" t="e">
        <f ca="1"/>
        <v>#VALUE!</v>
      </c>
      <c r="BO59" s="279" t="e" cm="1">
        <f t="array" aca="1" ref="BO59" ca="1">_xll.d.Dates_Act365(BN58,BN59)</f>
        <v>#VALUE!</v>
      </c>
      <c r="BP59" s="607" t="e">
        <f ca="1"/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I60" s="814"/>
      <c r="K60" s="203"/>
      <c r="L60" s="204"/>
      <c r="M60" s="741" t="s">
        <v>601</v>
      </c>
      <c r="N60" s="708">
        <v>6.9900000000000004E-2</v>
      </c>
      <c r="O60" s="221" t="b">
        <v>1</v>
      </c>
      <c r="R60" s="725" t="e">
        <f ca="1"/>
        <v>#VALUE!</v>
      </c>
      <c r="S60" s="279" t="e" cm="1">
        <f t="array" aca="1" ref="S60" ca="1">_xll.d.Dates_Act365(R59,R60)</f>
        <v>#VALUE!</v>
      </c>
      <c r="T60" s="607" t="e">
        <f ca="1"/>
        <v>#VALUE!</v>
      </c>
      <c r="U60" s="727" t="e">
        <f ca="1"/>
        <v>#VALUE!</v>
      </c>
      <c r="V60" s="740"/>
      <c r="W60" s="740"/>
      <c r="X60" s="740"/>
      <c r="Y60" s="740"/>
      <c r="Z60" s="740"/>
      <c r="AA60" s="203"/>
      <c r="AB60" s="204"/>
      <c r="AC60" s="777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Q60" s="203"/>
      <c r="AR60" s="204"/>
      <c r="AS60" s="777" t="s">
        <v>610</v>
      </c>
      <c r="AT60" s="275">
        <v>2.0959999999999999E-2</v>
      </c>
      <c r="AU60" s="206" t="b">
        <v>1</v>
      </c>
      <c r="BG60" s="54"/>
      <c r="BH60" s="821" t="s">
        <v>600</v>
      </c>
      <c r="BI60" s="708">
        <v>2.4760000000000001E-2</v>
      </c>
      <c r="BJ60" s="221" t="b">
        <v>1</v>
      </c>
      <c r="BL60" s="54"/>
      <c r="BN60" s="725" t="e">
        <f ca="1"/>
        <v>#VALUE!</v>
      </c>
      <c r="BO60" s="279" t="e" cm="1">
        <f t="array" aca="1" ref="BO60" ca="1">_xll.d.Dates_Act365(BN59,BN60)</f>
        <v>#VALUE!</v>
      </c>
      <c r="BP60" s="607" t="e">
        <f ca="1"/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50" t="s">
        <v>108</v>
      </c>
      <c r="C61" s="164" t="str" cm="1">
        <f t="array" aca="1" ref="C61" ca="1">_xll.d.TestUtils_And(F72:F84)</f>
        <v>Ok</v>
      </c>
      <c r="D61" s="439"/>
      <c r="E61" s="439"/>
      <c r="F61" s="439"/>
      <c r="G61" s="439"/>
      <c r="H61" s="439"/>
      <c r="I61" s="814"/>
      <c r="J61" s="439"/>
      <c r="K61" s="203"/>
      <c r="L61" s="204"/>
      <c r="M61" s="742" t="s">
        <v>602</v>
      </c>
      <c r="N61" s="720">
        <v>7.17E-2</v>
      </c>
      <c r="O61" s="219" t="b">
        <v>1</v>
      </c>
      <c r="R61" s="725" t="e">
        <f ca="1"/>
        <v>#VALUE!</v>
      </c>
      <c r="S61" s="279" t="e" cm="1">
        <f t="array" aca="1" ref="S61" ca="1">_xll.d.Dates_Act365(R60,R61)</f>
        <v>#VALUE!</v>
      </c>
      <c r="T61" s="607" t="e">
        <f ca="1"/>
        <v>#VALUE!</v>
      </c>
      <c r="U61" s="727" t="e">
        <f ca="1"/>
        <v>#VALUE!</v>
      </c>
      <c r="V61" s="740"/>
      <c r="W61" s="740"/>
      <c r="X61" s="740"/>
      <c r="Y61" s="740"/>
      <c r="Z61" s="740"/>
      <c r="AA61" s="203"/>
      <c r="AB61" s="204"/>
      <c r="AC61" s="777" t="s">
        <v>611</v>
      </c>
      <c r="AD61" s="275">
        <v>5.8499999999999993E-3</v>
      </c>
      <c r="AE61" s="206" t="b">
        <v>1</v>
      </c>
      <c r="AF61" s="439"/>
      <c r="AH61" s="439"/>
      <c r="AI61" s="439"/>
      <c r="AJ61" s="439"/>
      <c r="AK61" s="439"/>
      <c r="AQ61" s="203"/>
      <c r="AR61" s="204"/>
      <c r="AS61" s="777" t="s">
        <v>611</v>
      </c>
      <c r="AT61" s="275">
        <v>2.0830000000000001E-2</v>
      </c>
      <c r="AU61" s="206" t="b">
        <v>1</v>
      </c>
      <c r="BG61" s="54"/>
      <c r="BH61" s="821" t="s">
        <v>601</v>
      </c>
      <c r="BI61" s="708">
        <v>2.4512999999999997E-2</v>
      </c>
      <c r="BJ61" s="221" t="b">
        <v>1</v>
      </c>
      <c r="BL61" s="54"/>
      <c r="BN61" s="725" t="e">
        <f ca="1"/>
        <v>#VALUE!</v>
      </c>
      <c r="BO61" s="279" t="e" cm="1">
        <f t="array" aca="1" ref="BO61" ca="1">_xll.d.Dates_Act365(BN60,BN61)</f>
        <v>#VALUE!</v>
      </c>
      <c r="BP61" s="607" t="e">
        <f ca="1"/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s="439"/>
      <c r="H62" s="439"/>
      <c r="I62" s="814"/>
      <c r="J62" s="439"/>
      <c r="K62" s="203"/>
      <c r="L62" s="204"/>
      <c r="R62" s="725" t="e">
        <f ca="1"/>
        <v>#VALUE!</v>
      </c>
      <c r="S62" s="279" t="e" cm="1">
        <f t="array" aca="1" ref="S62" ca="1">_xll.d.Dates_Act365(R61,R62)</f>
        <v>#VALUE!</v>
      </c>
      <c r="T62" s="607" t="e">
        <f ca="1"/>
        <v>#VALUE!</v>
      </c>
      <c r="U62" s="727" t="e">
        <f ca="1"/>
        <v>#VALUE!</v>
      </c>
      <c r="V62" s="740"/>
      <c r="W62" s="740"/>
      <c r="X62" s="740"/>
      <c r="Y62" s="740"/>
      <c r="Z62" s="740"/>
      <c r="AA62" s="203"/>
      <c r="AB62" s="204"/>
      <c r="AC62" s="777" t="s">
        <v>612</v>
      </c>
      <c r="AD62" s="275">
        <v>6.0599999999999994E-3</v>
      </c>
      <c r="AE62" s="206" t="b">
        <v>1</v>
      </c>
      <c r="AF62" s="439"/>
      <c r="AG62" s="439"/>
      <c r="AH62" s="439"/>
      <c r="AI62" s="439"/>
      <c r="AJ62" s="439"/>
      <c r="AK62" s="439"/>
      <c r="AQ62" s="203"/>
      <c r="AR62" s="204"/>
      <c r="AS62" s="777" t="s">
        <v>612</v>
      </c>
      <c r="AT62" s="275">
        <v>2.0250000000000001E-2</v>
      </c>
      <c r="AU62" s="206" t="b">
        <v>1</v>
      </c>
      <c r="BG62" s="54"/>
      <c r="BH62" s="821" t="s">
        <v>602</v>
      </c>
      <c r="BI62" s="708">
        <v>2.4540000000000003E-2</v>
      </c>
      <c r="BJ62" s="221" t="b">
        <v>1</v>
      </c>
      <c r="BL62" s="54"/>
      <c r="BN62" s="725" t="e">
        <f ca="1"/>
        <v>#VALUE!</v>
      </c>
      <c r="BO62" s="279" t="e" cm="1">
        <f t="array" aca="1" ref="BO62" ca="1">_xll.d.Dates_Act365(BN61,BN62)</f>
        <v>#VALUE!</v>
      </c>
      <c r="BP62" s="607" t="e">
        <f ca="1"/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12" t="s">
        <v>29</v>
      </c>
      <c r="C63" s="27" t="s">
        <v>30</v>
      </c>
      <c r="D63" s="439"/>
      <c r="E63" s="439"/>
      <c r="I63" s="814"/>
      <c r="K63" s="203"/>
      <c r="L63" s="204"/>
      <c r="R63" s="725" t="e">
        <f ca="1"/>
        <v>#VALUE!</v>
      </c>
      <c r="S63" s="279" t="e" cm="1">
        <f t="array" aca="1" ref="S63" ca="1">_xll.d.Dates_Act365(R62,R63)</f>
        <v>#VALUE!</v>
      </c>
      <c r="T63" s="607" t="e">
        <f ca="1"/>
        <v>#VALUE!</v>
      </c>
      <c r="U63" s="727" t="e">
        <f ca="1"/>
        <v>#VALUE!</v>
      </c>
      <c r="V63" s="740"/>
      <c r="W63" s="740"/>
      <c r="X63" s="740"/>
      <c r="Y63" s="740"/>
      <c r="Z63" s="740"/>
      <c r="AA63" s="203"/>
      <c r="AB63" s="204"/>
      <c r="AC63" s="778" t="s">
        <v>613</v>
      </c>
      <c r="AD63" s="276">
        <v>6.0999999999999995E-3</v>
      </c>
      <c r="AE63" s="207" t="b">
        <v>1</v>
      </c>
      <c r="AF63" s="439"/>
      <c r="AG63" s="439"/>
      <c r="AH63" s="439"/>
      <c r="AI63" s="439"/>
      <c r="AJ63" s="439"/>
      <c r="AK63" s="439"/>
      <c r="AQ63" s="203"/>
      <c r="AR63" s="204"/>
      <c r="AS63" s="778" t="s">
        <v>613</v>
      </c>
      <c r="AT63" s="276">
        <v>1.9550000000000001E-2</v>
      </c>
      <c r="AU63" s="207" t="b">
        <v>1</v>
      </c>
      <c r="BG63" s="54"/>
      <c r="BH63" s="821" t="s">
        <v>639</v>
      </c>
      <c r="BI63" s="708">
        <v>2.4089999999999997E-2</v>
      </c>
      <c r="BJ63" s="221" t="b">
        <v>1</v>
      </c>
      <c r="BK63" s="54"/>
      <c r="BL63" s="54"/>
      <c r="BN63" s="725" t="e">
        <f ca="1"/>
        <v>#VALUE!</v>
      </c>
      <c r="BO63" s="279" t="e" cm="1">
        <f t="array" aca="1" ref="BO63" ca="1">_xll.d.Dates_Act365(BN62,BN63)</f>
        <v>#VALUE!</v>
      </c>
      <c r="BP63" s="607" t="e">
        <f ca="1"/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842" t="s">
        <v>3</v>
      </c>
      <c r="C64" s="843" t="s">
        <v>647</v>
      </c>
      <c r="D64" s="439"/>
      <c r="E64" s="439"/>
      <c r="I64" s="814"/>
      <c r="L64" s="204"/>
      <c r="R64" s="725" t="e">
        <f ca="1"/>
        <v>#VALUE!</v>
      </c>
      <c r="S64" s="279" t="e" cm="1">
        <f t="array" aca="1" ref="S64" ca="1">_xll.d.Dates_Act365(R63,R64)</f>
        <v>#VALUE!</v>
      </c>
      <c r="T64" s="607" t="e">
        <f ca="1"/>
        <v>#VALUE!</v>
      </c>
      <c r="U64" s="727" t="e">
        <f ca="1"/>
        <v>#VALUE!</v>
      </c>
      <c r="V64" s="740"/>
      <c r="W64" s="740"/>
      <c r="X64" s="740"/>
      <c r="Y64" s="740"/>
      <c r="Z64" s="740"/>
      <c r="AA64" s="203"/>
      <c r="AB64" s="204"/>
      <c r="AC64" s="1"/>
      <c r="AG64" s="439"/>
      <c r="AH64" s="439"/>
      <c r="AI64" s="439"/>
      <c r="AJ64" s="439"/>
      <c r="AK64" s="439"/>
      <c r="AQ64" s="203"/>
      <c r="AR64" s="204"/>
      <c r="AS64" s="1"/>
      <c r="BG64" s="54"/>
      <c r="BH64" s="821" t="s">
        <v>608</v>
      </c>
      <c r="BI64" s="708">
        <v>2.3950999999999997E-2</v>
      </c>
      <c r="BJ64" s="221" t="b">
        <v>1</v>
      </c>
      <c r="BK64" s="54"/>
      <c r="BL64" s="54"/>
      <c r="BN64" s="725" t="e">
        <f ca="1"/>
        <v>#VALUE!</v>
      </c>
      <c r="BO64" s="279" t="e" cm="1">
        <f t="array" aca="1" ref="BO64" ca="1">_xll.d.Dates_Act365(BN63,BN64)</f>
        <v>#VALUE!</v>
      </c>
      <c r="BP64" s="607" t="e">
        <f ca="1"/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844" t="s">
        <v>44</v>
      </c>
      <c r="C65" s="845" t="s">
        <v>648</v>
      </c>
      <c r="D65" s="439"/>
      <c r="E65" s="439"/>
      <c r="I65" s="814"/>
      <c r="L65" s="204"/>
      <c r="R65" s="725" t="e">
        <f ca="1"/>
        <v>#VALUE!</v>
      </c>
      <c r="S65" s="279" t="e" cm="1">
        <f t="array" aca="1" ref="S65" ca="1">_xll.d.Dates_Act365(R64,R65)</f>
        <v>#VALUE!</v>
      </c>
      <c r="T65" s="607" t="e">
        <f ca="1"/>
        <v>#VALUE!</v>
      </c>
      <c r="U65" s="727" t="e">
        <f ca="1"/>
        <v>#VALUE!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BG65" s="54"/>
      <c r="BH65" s="821" t="s">
        <v>609</v>
      </c>
      <c r="BI65" s="708">
        <v>2.4050999999999999E-2</v>
      </c>
      <c r="BJ65" s="221" t="b">
        <v>1</v>
      </c>
      <c r="BK65" s="54"/>
      <c r="BL65" s="54"/>
      <c r="BN65" s="725" t="e">
        <f ca="1"/>
        <v>#VALUE!</v>
      </c>
      <c r="BO65" s="279" t="e" cm="1">
        <f t="array" aca="1" ref="BO65" ca="1">_xll.d.Dates_Act365(BN64,BN65)</f>
        <v>#VALUE!</v>
      </c>
      <c r="BP65" s="607" t="e">
        <f ca="1"/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846" t="s">
        <v>31</v>
      </c>
      <c r="C66" s="847">
        <v>45016</v>
      </c>
      <c r="D66" s="439"/>
      <c r="E66" s="439"/>
      <c r="I66" s="814"/>
      <c r="L66" s="204"/>
      <c r="R66" s="725" t="e">
        <f ca="1"/>
        <v>#VALUE!</v>
      </c>
      <c r="S66" s="279" t="e" cm="1">
        <f t="array" aca="1" ref="S66" ca="1">_xll.d.Dates_Act365(R65,R66)</f>
        <v>#VALUE!</v>
      </c>
      <c r="T66" s="607" t="e">
        <f ca="1"/>
        <v>#VALUE!</v>
      </c>
      <c r="U66" s="727" t="e">
        <f ca="1"/>
        <v>#VALUE!</v>
      </c>
      <c r="V66" s="740"/>
      <c r="W66" s="740"/>
      <c r="X66" s="740"/>
      <c r="Y66" s="740"/>
      <c r="Z66" s="740"/>
      <c r="AA66" s="203"/>
      <c r="AB66" s="204"/>
      <c r="AG66" s="439"/>
      <c r="AQ66" s="203"/>
      <c r="AR66" s="204"/>
      <c r="BG66" s="54"/>
      <c r="BH66" s="821" t="s">
        <v>610</v>
      </c>
      <c r="BI66" s="708">
        <v>2.4262499999999999E-2</v>
      </c>
      <c r="BJ66" s="221" t="b">
        <v>1</v>
      </c>
      <c r="BK66" s="54"/>
      <c r="BL66" s="54"/>
      <c r="BN66" s="725" t="e">
        <f ca="1"/>
        <v>#VALUE!</v>
      </c>
      <c r="BO66" s="279" t="e" cm="1">
        <f t="array" aca="1" ref="BO66" ca="1">_xll.d.Dates_Act365(BN65,BN66)</f>
        <v>#VALUE!</v>
      </c>
      <c r="BP66" s="607" t="e">
        <f ca="1"/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1"/>
      <c r="C67" s="813"/>
      <c r="D67" s="815"/>
      <c r="E67" s="775"/>
      <c r="I67" s="814"/>
      <c r="L67" s="204"/>
      <c r="R67" s="725" t="e">
        <f ca="1"/>
        <v>#VALUE!</v>
      </c>
      <c r="S67" s="279" t="e" cm="1">
        <f t="array" aca="1" ref="S67" ca="1">_xll.d.Dates_Act365(R66,R67)</f>
        <v>#VALUE!</v>
      </c>
      <c r="T67" s="607" t="e">
        <f ca="1"/>
        <v>#VALUE!</v>
      </c>
      <c r="U67" s="727" t="e">
        <f ca="1"/>
        <v>#VALUE!</v>
      </c>
      <c r="V67" s="740"/>
      <c r="W67" s="740"/>
      <c r="X67" s="740"/>
      <c r="Y67" s="740"/>
      <c r="Z67" s="740"/>
      <c r="AA67" s="203"/>
      <c r="AB67" s="204"/>
      <c r="AG67" s="439"/>
      <c r="AQ67" s="203"/>
      <c r="AR67" s="204"/>
      <c r="BG67" s="54"/>
      <c r="BH67" s="821" t="s">
        <v>611</v>
      </c>
      <c r="BI67" s="708">
        <v>2.3692999999999999E-2</v>
      </c>
      <c r="BJ67" s="221" t="b">
        <v>1</v>
      </c>
      <c r="BK67" s="54"/>
      <c r="BL67" s="54"/>
      <c r="BN67" s="725" t="e">
        <f ca="1"/>
        <v>#VALUE!</v>
      </c>
      <c r="BO67" s="279" t="e" cm="1">
        <f t="array" aca="1" ref="BO67" ca="1">_xll.d.Dates_Act365(BN66,BN67)</f>
        <v>#VALUE!</v>
      </c>
      <c r="BP67" s="607" t="e">
        <f ca="1"/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56" t="s">
        <v>12</v>
      </c>
      <c r="C68" s="208" t="str" cm="1">
        <f t="array" aca="1" ref="C68" ca="1">_xll.d.Curve_Get(C64,C65,C66)</f>
        <v>@@MyZARSwapCurve::10:21:32</v>
      </c>
      <c r="D68" s="209"/>
      <c r="E68" s="775"/>
      <c r="I68" s="814"/>
      <c r="L68" s="204"/>
      <c r="R68" s="725" t="e">
        <f ca="1"/>
        <v>#VALUE!</v>
      </c>
      <c r="S68" s="279" t="e" cm="1">
        <f t="array" aca="1" ref="S68" ca="1">_xll.d.Dates_Act365(R67,R68)</f>
        <v>#VALUE!</v>
      </c>
      <c r="T68" s="607" t="e">
        <f ca="1"/>
        <v>#VALUE!</v>
      </c>
      <c r="U68" s="727" t="e">
        <f ca="1"/>
        <v>#VALUE!</v>
      </c>
      <c r="V68" s="740"/>
      <c r="W68" s="740"/>
      <c r="X68" s="740"/>
      <c r="Y68" s="740"/>
      <c r="Z68" s="740"/>
      <c r="AA68" s="203"/>
      <c r="AB68" s="204"/>
      <c r="AG68" s="439"/>
      <c r="AQ68" s="203"/>
      <c r="AR68" s="204"/>
      <c r="BG68" s="54"/>
      <c r="BH68" s="821" t="s">
        <v>612</v>
      </c>
      <c r="BI68" s="708">
        <v>2.3399999999999997E-2</v>
      </c>
      <c r="BJ68" s="221" t="b">
        <v>1</v>
      </c>
      <c r="BK68" s="54"/>
      <c r="BL68" s="54"/>
      <c r="BN68" s="725" t="e">
        <f ca="1"/>
        <v>#VALUE!</v>
      </c>
      <c r="BO68" s="279" t="e" cm="1">
        <f t="array" aca="1" ref="BO68" ca="1">_xll.d.Dates_Act365(BN67,BN68)</f>
        <v>#VALUE!</v>
      </c>
      <c r="BP68" s="607" t="e">
        <f ca="1"/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612" t="s">
        <v>649</v>
      </c>
      <c r="C69" s="813"/>
      <c r="E69" s="775"/>
      <c r="I69" s="814"/>
      <c r="K69" s="439"/>
      <c r="L69" s="204"/>
      <c r="R69" s="725" t="e">
        <f ca="1"/>
        <v>#VALUE!</v>
      </c>
      <c r="S69" s="279" t="e" cm="1">
        <f t="array" aca="1" ref="S69" ca="1">_xll.d.Dates_Act365(R68,R69)</f>
        <v>#VALUE!</v>
      </c>
      <c r="T69" s="607" t="e">
        <f ca="1"/>
        <v>#VALUE!</v>
      </c>
      <c r="U69" s="727" t="e">
        <f ca="1"/>
        <v>#VALUE!</v>
      </c>
      <c r="V69" s="740"/>
      <c r="W69" s="740"/>
      <c r="X69" s="740"/>
      <c r="Y69" s="740"/>
      <c r="Z69" s="740"/>
      <c r="AA69" s="203"/>
      <c r="AG69" s="439"/>
      <c r="AQ69" s="203"/>
      <c r="AR69" s="204"/>
      <c r="BG69" s="54"/>
      <c r="BH69" s="821" t="s">
        <v>613</v>
      </c>
      <c r="BI69" s="708">
        <v>2.2423999999999999E-2</v>
      </c>
      <c r="BJ69" s="221" t="b">
        <v>1</v>
      </c>
      <c r="BK69" s="54"/>
      <c r="BL69" s="54"/>
      <c r="BN69" s="725" t="e">
        <f ca="1"/>
        <v>#VALUE!</v>
      </c>
      <c r="BO69" s="279" t="e" cm="1">
        <f t="array" aca="1" ref="BO69" ca="1">_xll.d.Dates_Act365(BN68,BN69)</f>
        <v>#VALUE!</v>
      </c>
      <c r="BP69" s="607" t="e">
        <f ca="1"/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9" t="s">
        <v>67</v>
      </c>
      <c r="C70" s="187"/>
      <c r="D70" s="858" t="s">
        <v>68</v>
      </c>
      <c r="E70" s="50"/>
      <c r="F70" s="858" t="s">
        <v>190</v>
      </c>
      <c r="I70" s="814"/>
      <c r="J70" s="439"/>
      <c r="K70" s="439"/>
      <c r="L70" s="204"/>
      <c r="R70" s="725" t="e">
        <f ca="1"/>
        <v>#VALUE!</v>
      </c>
      <c r="S70" s="279" t="e" cm="1">
        <f t="array" aca="1" ref="S70" ca="1">_xll.d.Dates_Act365(R69,R70)</f>
        <v>#VALUE!</v>
      </c>
      <c r="T70" s="607" t="e">
        <f ca="1"/>
        <v>#VALUE!</v>
      </c>
      <c r="U70" s="727" t="e">
        <f ca="1"/>
        <v>#VALUE!</v>
      </c>
      <c r="V70" s="740"/>
      <c r="W70" s="740"/>
      <c r="X70" s="740"/>
      <c r="Y70" s="740"/>
      <c r="Z70" s="740"/>
      <c r="AA70" s="203"/>
      <c r="AG70" s="439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22" t="s">
        <v>640</v>
      </c>
      <c r="BI70" s="720">
        <v>2.1080000000000002E-2</v>
      </c>
      <c r="BJ70" s="219" t="b">
        <v>1</v>
      </c>
      <c r="BK70" s="54"/>
      <c r="BL70" s="54"/>
      <c r="BN70" s="725" t="e">
        <f ca="1"/>
        <v>#VALUE!</v>
      </c>
      <c r="BO70" s="279" t="e" cm="1">
        <f t="array" aca="1" ref="BO70" ca="1">_xll.d.Dates_Act365(BN69,BN70)</f>
        <v>#VALUE!</v>
      </c>
      <c r="BP70" s="607" t="e">
        <f ca="1"/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859" t="s">
        <v>0</v>
      </c>
      <c r="C71" s="860" t="s">
        <v>2</v>
      </c>
      <c r="D71" s="861" t="s">
        <v>0</v>
      </c>
      <c r="E71" s="862" t="s">
        <v>2</v>
      </c>
      <c r="F71" s="862"/>
      <c r="K71" s="439"/>
      <c r="L71" s="204"/>
      <c r="R71" s="725" t="e">
        <f ca="1"/>
        <v>#VALUE!</v>
      </c>
      <c r="S71" s="279" t="e" cm="1">
        <f t="array" aca="1" ref="S71" ca="1">_xll.d.Dates_Act365(R70,R71)</f>
        <v>#VALUE!</v>
      </c>
      <c r="T71" s="607" t="e">
        <f ca="1"/>
        <v>#VALUE!</v>
      </c>
      <c r="U71" s="727" t="e">
        <f ca="1"/>
        <v>#VALUE!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25" t="e">
        <f ca="1"/>
        <v>#VALUE!</v>
      </c>
      <c r="BO71" s="279" t="e" cm="1">
        <f t="array" aca="1" ref="BO71" ca="1">_xll.d.Dates_Act365(BN70,BN71)</f>
        <v>#VALUE!</v>
      </c>
      <c r="BP71" s="607" t="e">
        <f ca="1"/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>
      <c r="B72" s="863">
        <f>C66</f>
        <v>45016</v>
      </c>
      <c r="C72" s="864" cm="1">
        <f t="array" aca="1" ref="C72:C84" ca="1">_xll.d.Curve_GetDiscountFactors(C68,B72:B84)</f>
        <v>1</v>
      </c>
      <c r="D72" s="865">
        <f>B72</f>
        <v>45016</v>
      </c>
      <c r="E72" s="866">
        <v>1</v>
      </c>
      <c r="F72" s="164" t="str" cm="1">
        <f t="array" aca="1" ref="F72" ca="1">_xll.d.TestUtils_Equal(C72,E72)</f>
        <v>Ok</v>
      </c>
      <c r="G72" s="439"/>
      <c r="K72" s="439"/>
      <c r="L72" s="204"/>
      <c r="R72" s="725" t="e">
        <f ca="1"/>
        <v>#VALUE!</v>
      </c>
      <c r="S72" s="279" t="e" cm="1">
        <f t="array" aca="1" ref="S72" ca="1">_xll.d.Dates_Act365(R71,R72)</f>
        <v>#VALUE!</v>
      </c>
      <c r="T72" s="607" t="e">
        <f ca="1"/>
        <v>#VALUE!</v>
      </c>
      <c r="U72" s="727" t="e">
        <f ca="1"/>
        <v>#VALUE!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8" t="e">
        <f ca="1"/>
        <v>#VALUE!</v>
      </c>
      <c r="BO72" s="640" t="e" cm="1">
        <f t="array" aca="1" ref="BO72" ca="1">_xll.d.Dates_Act365(BN71,BN72)</f>
        <v>#VALUE!</v>
      </c>
      <c r="BP72" s="729" t="e">
        <f ca="1"/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867">
        <f>EDATE(B72,1)</f>
        <v>45046</v>
      </c>
      <c r="C73" s="868">
        <f ca="1"/>
        <v>0.99360206292619835</v>
      </c>
      <c r="D73" s="869">
        <f t="shared" ref="D73:D84" si="0">B73</f>
        <v>45046</v>
      </c>
      <c r="E73" s="870">
        <v>0.99360206292619835</v>
      </c>
      <c r="F73" s="164" t="str" cm="1">
        <f t="array" aca="1" ref="F73" ca="1">_xll.d.TestUtils_Equal(C73,E73)</f>
        <v>Ok</v>
      </c>
      <c r="K73" s="439"/>
      <c r="L73" s="204"/>
      <c r="R73" s="725" t="e">
        <f ca="1"/>
        <v>#VALUE!</v>
      </c>
      <c r="S73" s="279" t="e" cm="1">
        <f t="array" aca="1" ref="S73" ca="1">_xll.d.Dates_Act365(R72,R73)</f>
        <v>#VALUE!</v>
      </c>
      <c r="T73" s="607" t="e">
        <f ca="1"/>
        <v>#VALUE!</v>
      </c>
      <c r="U73" s="727" t="e">
        <f ca="1"/>
        <v>#VALUE!</v>
      </c>
      <c r="V73" s="740"/>
      <c r="AA73" s="203"/>
      <c r="AG73" s="439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867">
        <f t="shared" ref="B74:B84" si="1">EDATE(B73,1)</f>
        <v>45076</v>
      </c>
      <c r="C74" s="868">
        <f ca="1"/>
        <v>0.98715921592479683</v>
      </c>
      <c r="D74" s="869">
        <f t="shared" si="0"/>
        <v>45076</v>
      </c>
      <c r="E74" s="870">
        <v>0.98715921592479683</v>
      </c>
      <c r="F74" s="164" t="str" cm="1">
        <f t="array" aca="1" ref="F74" ca="1">_xll.d.TestUtils_Equal(C74,E74)</f>
        <v>Ok</v>
      </c>
      <c r="K74" s="439"/>
      <c r="L74" s="204"/>
      <c r="R74" s="728" t="e">
        <f ca="1"/>
        <v>#VALUE!</v>
      </c>
      <c r="S74" s="640" t="e" cm="1">
        <f t="array" aca="1" ref="S74" ca="1">_xll.d.Dates_Act365(R73,R74)</f>
        <v>#VALUE!</v>
      </c>
      <c r="T74" s="729" t="e">
        <f ca="1"/>
        <v>#VALUE!</v>
      </c>
      <c r="U74" s="328" t="e">
        <f ca="1"/>
        <v>#VALUE!</v>
      </c>
      <c r="V74" s="740"/>
      <c r="AA74" s="203"/>
      <c r="AG74" s="439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867">
        <f t="shared" si="1"/>
        <v>45107</v>
      </c>
      <c r="C75" s="868">
        <f ca="1"/>
        <v>0.98054549384542489</v>
      </c>
      <c r="D75" s="869">
        <f t="shared" si="0"/>
        <v>45107</v>
      </c>
      <c r="E75" s="870">
        <v>0.980545493845425</v>
      </c>
      <c r="F75" s="164" t="str" cm="1">
        <f t="array" aca="1" ref="F75" ca="1">_xll.d.TestUtils_Equal(C75,E75)</f>
        <v>Ok</v>
      </c>
      <c r="K75" s="439"/>
      <c r="L75" s="204"/>
      <c r="V75" s="740"/>
      <c r="AA75" s="203"/>
      <c r="AG75" s="439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867">
        <f t="shared" si="1"/>
        <v>45137</v>
      </c>
      <c r="C76" s="868">
        <f ca="1"/>
        <v>0.97404099755704798</v>
      </c>
      <c r="D76" s="869">
        <f t="shared" si="0"/>
        <v>45137</v>
      </c>
      <c r="E76" s="870">
        <v>0.97404099755704809</v>
      </c>
      <c r="F76" s="164" t="str" cm="1">
        <f t="array" aca="1" ref="F76" ca="1">_xll.d.TestUtils_Equal(C76,E76)</f>
        <v>Ok</v>
      </c>
      <c r="K76" s="439"/>
      <c r="L76" s="204"/>
      <c r="V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67">
        <f t="shared" si="1"/>
        <v>45168</v>
      </c>
      <c r="C77" s="868">
        <f ca="1"/>
        <v>0.96736501063792335</v>
      </c>
      <c r="D77" s="869">
        <f t="shared" si="0"/>
        <v>45168</v>
      </c>
      <c r="E77" s="870">
        <v>0.96736501063792357</v>
      </c>
      <c r="F77" s="164" t="str" cm="1">
        <f t="array" aca="1" ref="F77" ca="1">_xll.d.TestUtils_Equal(C77,E77)</f>
        <v>Ok</v>
      </c>
      <c r="K77" s="439"/>
      <c r="L77" s="204"/>
      <c r="R77" s="294" t="s">
        <v>557</v>
      </c>
      <c r="S77" s="295"/>
      <c r="T77" s="295"/>
      <c r="U77" s="296"/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2">BJ53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67">
        <f t="shared" si="1"/>
        <v>45199</v>
      </c>
      <c r="C78" s="868">
        <f ca="1"/>
        <v>0.96073374854954541</v>
      </c>
      <c r="D78" s="869">
        <f t="shared" si="0"/>
        <v>45199</v>
      </c>
      <c r="E78" s="870">
        <v>0.96073374854954563</v>
      </c>
      <c r="F78" s="164" t="str" cm="1">
        <f t="array" aca="1" ref="F78" ca="1">_xll.d.TestUtils_Equal(C78,E78)</f>
        <v>Ok</v>
      </c>
      <c r="K78" s="439"/>
      <c r="L78" s="204"/>
      <c r="R78" s="503" t="s">
        <v>22</v>
      </c>
      <c r="S78" s="624" t="s">
        <v>67</v>
      </c>
      <c r="T78" s="624" t="s">
        <v>68</v>
      </c>
      <c r="U78" s="625" t="s">
        <v>69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 ca="1">SUMPRODUCT(BO41:BO56,BP41:BP56,BQ41:BQ56)/SUMPRODUCT(BO41:BO56,BQ41:BQ56)</f>
        <v>#VALUE!</v>
      </c>
      <c r="BP78" s="744">
        <f t="shared" si="2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67">
        <f t="shared" si="1"/>
        <v>45229</v>
      </c>
      <c r="C79" s="868">
        <f ca="1"/>
        <v>0.95432992729213317</v>
      </c>
      <c r="D79" s="869">
        <f t="shared" si="0"/>
        <v>45229</v>
      </c>
      <c r="E79" s="870">
        <v>0.95432992729213328</v>
      </c>
      <c r="F79" s="164" t="str" cm="1">
        <f t="array" aca="1" ref="F79" ca="1">_xll.d.TestUtils_Equal(C79,E79)</f>
        <v>Ok</v>
      </c>
      <c r="K79" s="439"/>
      <c r="L79" s="204"/>
      <c r="R79" s="626" t="s">
        <v>54</v>
      </c>
      <c r="S79" s="736" t="e">
        <f ca="1">SUMPRODUCT(S43:S54,T43:T54,U43:U54)/SUMPRODUCT(S43:S54,U43:U54)</f>
        <v>#VALUE!</v>
      </c>
      <c r="T79" s="736">
        <f t="shared" ref="T79:T84" si="3">N56</f>
        <v>6.3899999999999998E-2</v>
      </c>
      <c r="U79" s="195" t="str" cm="1">
        <f t="array" aca="1" ref="U79" ca="1">_xll.d.TestUtils_Equal(S79,T79,0.00001)</f>
        <v>Error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 ca="1">SUMPRODUCT(BO41:BO60,BP41:BP60,BQ41:BQ60)/SUMPRODUCT(BO41:BO60,BQ41:BQ60)</f>
        <v>#VALUE!</v>
      </c>
      <c r="BP79" s="746" t="str">
        <f t="shared" si="2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867">
        <f t="shared" si="1"/>
        <v>45260</v>
      </c>
      <c r="C80" s="868">
        <f ca="1"/>
        <v>0.94775748497077994</v>
      </c>
      <c r="D80" s="869">
        <f t="shared" si="0"/>
        <v>45260</v>
      </c>
      <c r="E80" s="870">
        <v>0.94775748497078005</v>
      </c>
      <c r="F80" s="164" t="str" cm="1">
        <f t="array" aca="1" ref="F80" ca="1">_xll.d.TestUtils_Equal(C80,E80)</f>
        <v>Ok</v>
      </c>
      <c r="K80" s="439"/>
      <c r="L80" s="204"/>
      <c r="R80" s="743" t="s">
        <v>592</v>
      </c>
      <c r="S80" s="744" t="e">
        <f ca="1">SUMPRODUCT(S43:S58,T43:T58,U43:U58)/SUMPRODUCT(S43:S58,U43:U58)</f>
        <v>#VALUE!</v>
      </c>
      <c r="T80" s="744">
        <f t="shared" si="3"/>
        <v>6.5199999999999994E-2</v>
      </c>
      <c r="U80" s="686" t="str" cm="1">
        <f t="array" aca="1" ref="U80" ca="1">_xll.d.TestUtils_Equal(S80,T80,0.00001)</f>
        <v>Error</v>
      </c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 ca="1">SUMPRODUCT(BO41:BO64,BP41:BP64,BQ41:BQ64)/SUMPRODUCT(BO41:BO64,BQ41:BQ64)</f>
        <v>#VALUE!</v>
      </c>
      <c r="BP80" s="744" t="b">
        <f t="shared" si="2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867">
        <f t="shared" si="1"/>
        <v>45290</v>
      </c>
      <c r="C81" s="868">
        <f ca="1"/>
        <v>0.94144380075982581</v>
      </c>
      <c r="D81" s="869">
        <f t="shared" si="0"/>
        <v>45290</v>
      </c>
      <c r="E81" s="870">
        <v>0.94144380075982581</v>
      </c>
      <c r="F81" s="164" t="str" cm="1">
        <f t="array" aca="1" ref="F81" ca="1">_xll.d.TestUtils_Equal(C81,E81)</f>
        <v>Ok</v>
      </c>
      <c r="K81" s="439"/>
      <c r="L81" s="204"/>
      <c r="R81" s="745" t="s">
        <v>599</v>
      </c>
      <c r="S81" s="744" t="e">
        <f ca="1">SUMPRODUCT(S43:S62,T43:T62,U43:U62)/SUMPRODUCT(S43:S62,U43:U62)</f>
        <v>#VALUE!</v>
      </c>
      <c r="T81" s="746">
        <f t="shared" si="3"/>
        <v>6.6600000000000006E-2</v>
      </c>
      <c r="U81" s="686" t="str" cm="1">
        <f t="array" aca="1" ref="U81" ca="1">_xll.d.TestUtils_Equal(S81,T81,0.00001)</f>
        <v>Error</v>
      </c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 ca="1">SUMPRODUCT(BO41:BO68,BP41:BP68,BQ41:BQ68)/SUMPRODUCT(BO41:BO68,BQ41:BQ68)</f>
        <v>#VALUE!</v>
      </c>
      <c r="BP81" s="746" t="b">
        <f t="shared" si="2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867">
        <f t="shared" si="1"/>
        <v>45321</v>
      </c>
      <c r="C82" s="868">
        <f ca="1"/>
        <v>0.93507226945889121</v>
      </c>
      <c r="D82" s="869">
        <f t="shared" si="0"/>
        <v>45321</v>
      </c>
      <c r="E82" s="870">
        <v>0.93507226945889121</v>
      </c>
      <c r="F82" s="164" t="str" cm="1">
        <f t="array" aca="1" ref="F82" ca="1">_xll.d.TestUtils_Equal(C82,E82)</f>
        <v>Ok</v>
      </c>
      <c r="K82" s="439"/>
      <c r="L82" s="204"/>
      <c r="R82" s="743" t="s">
        <v>600</v>
      </c>
      <c r="S82" s="744" t="e">
        <f ca="1">SUMPRODUCT(S43:S66,T43:T66,U43:U66)/SUMPRODUCT(S43:S66,U43:U66)</f>
        <v>#VALUE!</v>
      </c>
      <c r="T82" s="744">
        <f t="shared" si="3"/>
        <v>6.83E-2</v>
      </c>
      <c r="U82" s="686" t="str" cm="1">
        <f t="array" aca="1" ref="U82" ca="1">_xll.d.TestUtils_Equal(S82,T82,0.00001)</f>
        <v>Error</v>
      </c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 ca="1">SUMPRODUCT(BO41:BO72,BP41:BP72,BQ41:BQ72)/SUMPRODUCT(BO41:BO72,BQ41:BQ72)</f>
        <v>#VALUE!</v>
      </c>
      <c r="BP82" s="737" t="b">
        <f t="shared" si="2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867">
        <f t="shared" si="1"/>
        <v>45351</v>
      </c>
      <c r="C83" s="868">
        <f ca="1"/>
        <v>0.92894733177196143</v>
      </c>
      <c r="D83" s="869">
        <f t="shared" si="0"/>
        <v>45351</v>
      </c>
      <c r="E83" s="870">
        <v>0.92894733177196143</v>
      </c>
      <c r="F83" s="164" t="str" cm="1">
        <f t="array" aca="1" ref="F83" ca="1">_xll.d.TestUtils_Equal(C83,E83)</f>
        <v>Ok</v>
      </c>
      <c r="K83" s="439"/>
      <c r="L83" s="204"/>
      <c r="N83" s="815"/>
      <c r="R83" s="745" t="s">
        <v>601</v>
      </c>
      <c r="S83" s="744" t="e">
        <f ca="1">SUMPRODUCT(S43:S70,T43:T70,U43:U70)/SUMPRODUCT(S43:S70,U43:U70)</f>
        <v>#VALUE!</v>
      </c>
      <c r="T83" s="746">
        <f t="shared" si="3"/>
        <v>6.9900000000000004E-2</v>
      </c>
      <c r="U83" s="686" t="str" cm="1">
        <f t="array" aca="1" ref="U83" ca="1">_xll.d.TestUtils_Equal(S83,T83,0.00001)</f>
        <v>Error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71">
        <f t="shared" si="1"/>
        <v>45380</v>
      </c>
      <c r="C84" s="872">
        <f ca="1"/>
        <v>0.92307131168996104</v>
      </c>
      <c r="D84" s="873">
        <f t="shared" si="0"/>
        <v>45380</v>
      </c>
      <c r="E84" s="874">
        <v>0.92307131168996104</v>
      </c>
      <c r="F84" s="164" t="str" cm="1">
        <f t="array" aca="1" ref="F84" ca="1">_xll.d.TestUtils_Equal(C84,E84)</f>
        <v>Ok</v>
      </c>
      <c r="K84" s="439"/>
      <c r="L84" s="204"/>
      <c r="N84" s="815"/>
      <c r="R84" s="627" t="s">
        <v>602</v>
      </c>
      <c r="S84" s="737" t="e">
        <f ca="1">SUMPRODUCT(S43:S74,T43:T74,U43:U74)/SUMPRODUCT(S43:S74,U43:U74)</f>
        <v>#VALUE!</v>
      </c>
      <c r="T84" s="737">
        <f t="shared" si="3"/>
        <v>7.17E-2</v>
      </c>
      <c r="U84" s="198" t="str" cm="1">
        <f t="array" aca="1" ref="U84" ca="1">_xll.d.TestUtils_Equal(S84,T84,0.00001)</f>
        <v>Error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K85" s="439"/>
      <c r="L85" s="204"/>
      <c r="N85" s="815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K86" s="439"/>
      <c r="L86" s="204"/>
      <c r="N86" s="815"/>
      <c r="R86" s="298" t="s">
        <v>215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>
      <c r="B87" s="4" t="s">
        <v>642</v>
      </c>
      <c r="C87" s="4"/>
      <c r="D87" s="4"/>
      <c r="E87" s="4"/>
      <c r="F87" s="4"/>
      <c r="G87" s="4"/>
      <c r="H87" s="4"/>
      <c r="I87" s="4"/>
      <c r="J87" s="4"/>
      <c r="K87" s="439"/>
      <c r="L87" s="204"/>
      <c r="N87" s="815"/>
      <c r="R87" s="268" t="s">
        <v>214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C88" s="164"/>
      <c r="K88" s="439"/>
      <c r="L88" s="204"/>
      <c r="N88" s="815"/>
    </row>
    <row r="89" spans="2:86">
      <c r="B89" s="50" t="s">
        <v>108</v>
      </c>
      <c r="C89" s="164" t="str" cm="1">
        <f t="array" aca="1" ref="C89" ca="1">_xll.d.TestUtils_And(H92:J107)</f>
        <v>Ok</v>
      </c>
      <c r="D89" s="439"/>
      <c r="E89" s="439"/>
      <c r="F89" s="439"/>
      <c r="G89" s="439"/>
      <c r="H89" s="439"/>
      <c r="K89" s="439"/>
      <c r="L89" s="204"/>
      <c r="N89" s="815"/>
    </row>
    <row r="90" spans="2:86">
      <c r="B90" s="439"/>
      <c r="C90" s="439"/>
      <c r="D90" s="439"/>
      <c r="E90" s="439"/>
      <c r="F90" s="439"/>
      <c r="G90" s="439"/>
      <c r="H90" s="439"/>
      <c r="K90" s="439"/>
      <c r="L90" s="204"/>
      <c r="N90" s="815"/>
    </row>
    <row r="91" spans="2:86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9"/>
      <c r="L91" s="204"/>
      <c r="N91" s="815"/>
    </row>
    <row r="92" spans="2:86">
      <c r="B92" s="848" t="str" cm="1">
        <f t="array" aca="1" ref="B92:D107" ca="1">_xll.d.Curve_GetInstruments(D27)</f>
        <v>Deposits</v>
      </c>
      <c r="C92" s="849" t="str">
        <f ca="1"/>
        <v/>
      </c>
      <c r="D92" s="855" t="str">
        <f ca="1"/>
        <v/>
      </c>
      <c r="E92" s="849" t="str">
        <f t="shared" ref="E92:E107" si="4">IF(B38&lt;&gt;"",B38,"")</f>
        <v>Deposits</v>
      </c>
      <c r="F92" s="849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aca="1" ref="H92" ca="1">_xll.d.TestUtils_Equal(B92,E92)</f>
        <v>Ok</v>
      </c>
      <c r="I92" s="164" t="str" cm="1">
        <f t="array" aca="1" ref="I92" ca="1">_xll.d.TestUtils_Equal(C92,F92)</f>
        <v>Ok</v>
      </c>
      <c r="J92" s="164" t="str" cm="1">
        <f t="array" aca="1" ref="J92" ca="1">_xll.d.TestUtils_Equal(D92,G92)</f>
        <v>Ok</v>
      </c>
      <c r="K92" s="439"/>
      <c r="L92" s="204"/>
      <c r="N92" s="815"/>
    </row>
    <row r="93" spans="2:86">
      <c r="B93" s="77" t="str">
        <f ca="1"/>
        <v>Tenors</v>
      </c>
      <c r="C93" s="54" t="str">
        <f ca="1"/>
        <v>Rates</v>
      </c>
      <c r="D93" s="856" t="str">
        <f ca="1"/>
        <v>Include</v>
      </c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aca="1" ref="H93" ca="1">_xll.d.TestUtils_Equal(B93,E93)</f>
        <v>Ok</v>
      </c>
      <c r="I93" s="164" t="str" cm="1">
        <f t="array" aca="1" ref="I93" ca="1">_xll.d.TestUtils_Equal(C93,F93)</f>
        <v>Ok</v>
      </c>
      <c r="J93" s="164" t="str" cm="1">
        <f t="array" aca="1" ref="J93" ca="1">_xll.d.TestUtils_Equal(D93,G93)</f>
        <v>Ok</v>
      </c>
      <c r="K93" s="439"/>
      <c r="L93" s="204"/>
      <c r="N93" s="815"/>
    </row>
    <row r="94" spans="2:86">
      <c r="B94" s="77" t="str">
        <f ca="1"/>
        <v>1m</v>
      </c>
      <c r="C94" s="850">
        <f ca="1"/>
        <v>0.1</v>
      </c>
      <c r="D94" s="856" t="b">
        <f ca="1"/>
        <v>1</v>
      </c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aca="1" ref="H94" ca="1">_xll.d.TestUtils_Equal(B94,E94)</f>
        <v>Ok</v>
      </c>
      <c r="I94" s="164" t="str" cm="1">
        <f t="array" aca="1" ref="I94" ca="1">_xll.d.TestUtils_Equal(C94,F94)</f>
        <v>Ok</v>
      </c>
      <c r="J94" s="164" t="str" cm="1">
        <f t="array" aca="1" ref="J94" ca="1">_xll.d.TestUtils_Equal(D94,G94)</f>
        <v>Ok</v>
      </c>
      <c r="K94" s="439"/>
      <c r="L94" s="204"/>
      <c r="N94" s="815"/>
    </row>
    <row r="95" spans="2:86">
      <c r="B95" s="77" t="str">
        <f ca="1"/>
        <v>2m</v>
      </c>
      <c r="C95" s="850">
        <f ca="1"/>
        <v>0.1</v>
      </c>
      <c r="D95" s="856" t="b">
        <f ca="1"/>
        <v>1</v>
      </c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aca="1" ref="H95" ca="1">_xll.d.TestUtils_Equal(B95,E95)</f>
        <v>Ok</v>
      </c>
      <c r="I95" s="164" t="str" cm="1">
        <f t="array" aca="1" ref="I95" ca="1">_xll.d.TestUtils_Equal(C95,F95)</f>
        <v>Ok</v>
      </c>
      <c r="J95" s="164" t="str" cm="1">
        <f t="array" aca="1" ref="J95" ca="1">_xll.d.TestUtils_Equal(D95,G95)</f>
        <v>Ok</v>
      </c>
      <c r="K95" s="439"/>
      <c r="L95" s="204"/>
      <c r="N95" s="815"/>
    </row>
    <row r="96" spans="2:86">
      <c r="B96" s="851" t="str">
        <f ca="1"/>
        <v>3m</v>
      </c>
      <c r="C96" s="850">
        <f ca="1"/>
        <v>0.1</v>
      </c>
      <c r="D96" s="856" t="b">
        <f ca="1"/>
        <v>1</v>
      </c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aca="1" ref="H96" ca="1">_xll.d.TestUtils_Equal(B96,E96)</f>
        <v>Ok</v>
      </c>
      <c r="I96" s="164" t="str" cm="1">
        <f t="array" aca="1" ref="I96" ca="1">_xll.d.TestUtils_Equal(C96,F96)</f>
        <v>Ok</v>
      </c>
      <c r="J96" s="164" t="str" cm="1">
        <f t="array" aca="1" ref="J96" ca="1">_xll.d.TestUtils_Equal(D96,G96)</f>
        <v>Ok</v>
      </c>
      <c r="K96" s="439"/>
      <c r="L96" s="204"/>
      <c r="N96" s="815"/>
    </row>
    <row r="97" spans="2:14">
      <c r="B97" s="77" t="str">
        <f ca="1"/>
        <v/>
      </c>
      <c r="C97" s="54" t="str">
        <f ca="1"/>
        <v/>
      </c>
      <c r="D97" s="856" t="str">
        <f ca="1"/>
        <v/>
      </c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aca="1" ref="H97" ca="1">_xll.d.TestUtils_Equal(B97,E97)</f>
        <v>Ok</v>
      </c>
      <c r="I97" s="164" t="str" cm="1">
        <f t="array" aca="1" ref="I97" ca="1">_xll.d.TestUtils_Equal(C97,F97)</f>
        <v>Ok</v>
      </c>
      <c r="J97" s="164" t="str" cm="1">
        <f t="array" aca="1" ref="J97" ca="1">_xll.d.TestUtils_Equal(D97,G97)</f>
        <v>Ok</v>
      </c>
      <c r="K97" s="439"/>
      <c r="L97" s="204"/>
      <c r="N97" s="815"/>
    </row>
    <row r="98" spans="2:14">
      <c r="B98" s="77" t="str">
        <f ca="1"/>
        <v>FRAs</v>
      </c>
      <c r="C98" s="54" t="str">
        <f ca="1"/>
        <v/>
      </c>
      <c r="D98" s="856" t="str">
        <f ca="1"/>
        <v/>
      </c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aca="1" ref="H98" ca="1">_xll.d.TestUtils_Equal(B98,E98)</f>
        <v>Ok</v>
      </c>
      <c r="I98" s="164" t="str" cm="1">
        <f t="array" aca="1" ref="I98" ca="1">_xll.d.TestUtils_Equal(C98,F98)</f>
        <v>Ok</v>
      </c>
      <c r="J98" s="164" t="str" cm="1">
        <f t="array" aca="1" ref="J98" ca="1">_xll.d.TestUtils_Equal(D98,G98)</f>
        <v>Ok</v>
      </c>
      <c r="K98" s="439"/>
      <c r="L98" s="204"/>
      <c r="N98" s="815"/>
    </row>
    <row r="99" spans="2:14">
      <c r="B99" s="851" t="str">
        <f ca="1"/>
        <v>FraTenors</v>
      </c>
      <c r="C99" s="54" t="str">
        <f ca="1"/>
        <v>Rates</v>
      </c>
      <c r="D99" s="856" t="str">
        <f ca="1"/>
        <v>Include</v>
      </c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aca="1" ref="H99" ca="1">_xll.d.TestUtils_Equal(B99,E99)</f>
        <v>Ok</v>
      </c>
      <c r="I99" s="164" t="str" cm="1">
        <f t="array" aca="1" ref="I99" ca="1">_xll.d.TestUtils_Equal(C99,F99)</f>
        <v>Ok</v>
      </c>
      <c r="J99" s="164" t="str" cm="1">
        <f t="array" aca="1" ref="J99" ca="1">_xll.d.TestUtils_Equal(D99,G99)</f>
        <v>Ok</v>
      </c>
      <c r="K99" s="439"/>
      <c r="L99" s="204"/>
      <c r="N99" s="815"/>
    </row>
    <row r="100" spans="2:14">
      <c r="B100" s="77" t="str">
        <f ca="1"/>
        <v>3x6</v>
      </c>
      <c r="C100" s="850">
        <f ca="1"/>
        <v>0.1</v>
      </c>
      <c r="D100" s="856" t="b">
        <f ca="1"/>
        <v>1</v>
      </c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aca="1" ref="H100" ca="1">_xll.d.TestUtils_Equal(B100,E100)</f>
        <v>Ok</v>
      </c>
      <c r="I100" s="164" t="str" cm="1">
        <f t="array" aca="1" ref="I100" ca="1">_xll.d.TestUtils_Equal(C100,F100)</f>
        <v>Ok</v>
      </c>
      <c r="J100" s="164" t="str" cm="1">
        <f t="array" aca="1" ref="J100" ca="1">_xll.d.TestUtils_Equal(D100,G100)</f>
        <v>Ok</v>
      </c>
      <c r="K100" s="439"/>
      <c r="L100" s="204"/>
      <c r="N100" s="815"/>
    </row>
    <row r="101" spans="2:14">
      <c r="B101" s="77" t="str">
        <f ca="1"/>
        <v>6x9</v>
      </c>
      <c r="C101" s="850">
        <f ca="1"/>
        <v>0.1</v>
      </c>
      <c r="D101" s="856" t="b">
        <f ca="1"/>
        <v>1</v>
      </c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aca="1" ref="H101" ca="1">_xll.d.TestUtils_Equal(B101,E101)</f>
        <v>Ok</v>
      </c>
      <c r="I101" s="164" t="str" cm="1">
        <f t="array" aca="1" ref="I101" ca="1">_xll.d.TestUtils_Equal(C101,F101)</f>
        <v>Ok</v>
      </c>
      <c r="J101" s="164" t="str" cm="1">
        <f t="array" aca="1" ref="J101" ca="1">_xll.d.TestUtils_Equal(D101,G101)</f>
        <v>Ok</v>
      </c>
      <c r="K101" s="439"/>
      <c r="L101" s="204"/>
      <c r="N101" s="815"/>
    </row>
    <row r="102" spans="2:14">
      <c r="B102" s="851" t="str">
        <f ca="1"/>
        <v>9x12</v>
      </c>
      <c r="C102" s="850">
        <f ca="1"/>
        <v>0.1</v>
      </c>
      <c r="D102" s="856" t="b">
        <f ca="1"/>
        <v>1</v>
      </c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aca="1" ref="H102" ca="1">_xll.d.TestUtils_Equal(B102,E102)</f>
        <v>Ok</v>
      </c>
      <c r="I102" s="164" t="str" cm="1">
        <f t="array" aca="1" ref="I102" ca="1">_xll.d.TestUtils_Equal(C102,F102)</f>
        <v>Ok</v>
      </c>
      <c r="J102" s="164" t="str" cm="1">
        <f t="array" aca="1" ref="J102" ca="1">_xll.d.TestUtils_Equal(D102,G102)</f>
        <v>Ok</v>
      </c>
      <c r="K102" s="439"/>
      <c r="L102" s="204"/>
      <c r="N102" s="815"/>
    </row>
    <row r="103" spans="2:14">
      <c r="B103" s="77" t="str">
        <f ca="1"/>
        <v/>
      </c>
      <c r="C103" s="54" t="str">
        <f ca="1"/>
        <v/>
      </c>
      <c r="D103" s="856" t="str">
        <f ca="1"/>
        <v/>
      </c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aca="1" ref="H103" ca="1">_xll.d.TestUtils_Equal(B103,E103)</f>
        <v>Ok</v>
      </c>
      <c r="I103" s="164" t="str" cm="1">
        <f t="array" aca="1" ref="I103" ca="1">_xll.d.TestUtils_Equal(C103,F103)</f>
        <v>Ok</v>
      </c>
      <c r="J103" s="164" t="str" cm="1">
        <f t="array" aca="1" ref="J103" ca="1">_xll.d.TestUtils_Equal(D103,G103)</f>
        <v>Ok</v>
      </c>
      <c r="K103" s="439"/>
      <c r="L103" s="204"/>
    </row>
    <row r="104" spans="2:14">
      <c r="B104" s="77" t="str">
        <f ca="1"/>
        <v>Interest Rate Swaps</v>
      </c>
      <c r="C104" s="54" t="str">
        <f ca="1"/>
        <v/>
      </c>
      <c r="D104" s="856" t="str">
        <f ca="1"/>
        <v/>
      </c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aca="1" ref="H104" ca="1">_xll.d.TestUtils_Equal(B104,E104)</f>
        <v>Ok</v>
      </c>
      <c r="I104" s="164" t="str" cm="1">
        <f t="array" aca="1" ref="I104" ca="1">_xll.d.TestUtils_Equal(C104,F104)</f>
        <v>Ok</v>
      </c>
      <c r="J104" s="164" t="str" cm="1">
        <f t="array" aca="1" ref="J104" ca="1">_xll.d.TestUtils_Equal(D104,G104)</f>
        <v>Ok</v>
      </c>
      <c r="K104" s="439"/>
      <c r="L104" s="204"/>
    </row>
    <row r="105" spans="2:14">
      <c r="B105" s="77" t="str">
        <f ca="1"/>
        <v>Tenors</v>
      </c>
      <c r="C105" s="54" t="str">
        <f ca="1"/>
        <v>Rates</v>
      </c>
      <c r="D105" s="856" t="str">
        <f ca="1"/>
        <v>Include</v>
      </c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aca="1" ref="H105" ca="1">_xll.d.TestUtils_Equal(B105,E105)</f>
        <v>Ok</v>
      </c>
      <c r="I105" s="164" t="str" cm="1">
        <f t="array" aca="1" ref="I105" ca="1">_xll.d.TestUtils_Equal(C105,F105)</f>
        <v>Ok</v>
      </c>
      <c r="J105" s="164" t="str" cm="1">
        <f t="array" aca="1" ref="J105" ca="1">_xll.d.TestUtils_Equal(D105,G105)</f>
        <v>Ok</v>
      </c>
      <c r="K105" s="439"/>
      <c r="L105" s="204"/>
    </row>
    <row r="106" spans="2:14">
      <c r="B106" s="852" t="str">
        <f ca="1"/>
        <v>2y</v>
      </c>
      <c r="C106" s="850">
        <f ca="1"/>
        <v>0.1</v>
      </c>
      <c r="D106" s="856" t="b">
        <f ca="1"/>
        <v>1</v>
      </c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439"/>
      <c r="L106" s="204"/>
    </row>
    <row r="107" spans="2:14">
      <c r="B107" s="79" t="str">
        <f ca="1"/>
        <v>3y</v>
      </c>
      <c r="C107" s="853">
        <f ca="1"/>
        <v>0.1</v>
      </c>
      <c r="D107" s="857" t="b">
        <f ca="1"/>
        <v>1</v>
      </c>
      <c r="E107" s="854" t="str">
        <f t="shared" si="4"/>
        <v>3y</v>
      </c>
      <c r="F107" s="854">
        <f t="shared" si="5"/>
        <v>0.1</v>
      </c>
      <c r="G107" s="80" t="b">
        <f t="shared" si="6"/>
        <v>1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439"/>
      <c r="L107" s="204"/>
    </row>
    <row r="108" spans="2:14">
      <c r="K108" s="439"/>
      <c r="L108" s="204"/>
    </row>
    <row r="109" spans="2:14">
      <c r="K109" s="439"/>
      <c r="L109" s="439"/>
    </row>
    <row r="110" spans="2:14">
      <c r="K110" s="439"/>
      <c r="L110" s="439"/>
    </row>
    <row r="111" spans="2:14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>
      <c r="B112" s="875" t="str" cm="1">
        <f t="array" aca="1" ref="B112:E142" ca="1">_xll.d.Curve_GetInstruments(C68)</f>
        <v>Deposits</v>
      </c>
      <c r="C112" s="876" t="str">
        <f ca="1"/>
        <v/>
      </c>
      <c r="D112" s="876" t="str">
        <f ca="1"/>
        <v/>
      </c>
      <c r="E112" s="876" t="str">
        <f ca="1"/>
        <v/>
      </c>
      <c r="F112" s="876" t="s">
        <v>21</v>
      </c>
      <c r="G112" s="876" t="s">
        <v>259</v>
      </c>
      <c r="H112" s="876" t="s">
        <v>259</v>
      </c>
      <c r="I112" s="877" t="s">
        <v>259</v>
      </c>
      <c r="J112" s="164" t="str" cm="1">
        <f t="array" aca="1" ref="J112" ca="1">_xll.d.TestUtils_Equal(B112,F112)</f>
        <v>Ok</v>
      </c>
      <c r="K112" s="164" t="str" cm="1">
        <f t="array" aca="1" ref="K112" ca="1">_xll.d.TestUtils_Equal(C112,G112)</f>
        <v>Ok</v>
      </c>
      <c r="L112" s="164" t="str" cm="1">
        <f t="array" aca="1" ref="L112" ca="1">_xll.d.TestUtils_Equal(D112,H112)</f>
        <v>Ok</v>
      </c>
      <c r="M112" s="164" t="str" cm="1">
        <f t="array" aca="1" ref="M112" ca="1">_xll.d.TestUtils_Equal(E112,I112)</f>
        <v>Ok</v>
      </c>
    </row>
    <row r="113" spans="2:13">
      <c r="B113" s="89" t="str">
        <f ca="1"/>
        <v>Tenors</v>
      </c>
      <c r="C113" s="72" t="str">
        <f ca="1"/>
        <v>RateIndex</v>
      </c>
      <c r="D113" s="72" t="str">
        <f ca="1"/>
        <v>Rates</v>
      </c>
      <c r="E113" s="72" t="str">
        <f ca="1"/>
        <v>Include</v>
      </c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aca="1" ref="J113" ca="1">_xll.d.TestUtils_Equal(B113,F113)</f>
        <v>Ok</v>
      </c>
      <c r="K113" s="164" t="str" cm="1">
        <f t="array" aca="1" ref="K113" ca="1">_xll.d.TestUtils_Equal(C113,G113)</f>
        <v>Ok</v>
      </c>
      <c r="L113" s="164" t="str" cm="1">
        <f t="array" aca="1" ref="L113" ca="1">_xll.d.TestUtils_Equal(D113,H113)</f>
        <v>Ok</v>
      </c>
      <c r="M113" s="164" t="str" cm="1">
        <f t="array" aca="1" ref="M113" ca="1">_xll.d.TestUtils_Equal(E113,I113)</f>
        <v>Ok</v>
      </c>
    </row>
    <row r="114" spans="2:13">
      <c r="B114" s="89" t="str">
        <f ca="1"/>
        <v>1D</v>
      </c>
      <c r="C114" s="72" t="str">
        <f ca="1"/>
        <v>JIBAR</v>
      </c>
      <c r="D114" s="72">
        <f ca="1"/>
        <v>7.0699999999999999E-2</v>
      </c>
      <c r="E114" s="72" t="str">
        <f ca="1"/>
        <v>TRUE</v>
      </c>
      <c r="F114" s="72" t="s">
        <v>653</v>
      </c>
      <c r="G114" s="72" t="s">
        <v>33</v>
      </c>
      <c r="H114" s="72">
        <v>7.0699999999999999E-2</v>
      </c>
      <c r="I114" s="90" t="s">
        <v>654</v>
      </c>
      <c r="J114" s="164" t="str" cm="1">
        <f t="array" aca="1" ref="J114" ca="1">_xll.d.TestUtils_Equal(B114,F114)</f>
        <v>Ok</v>
      </c>
      <c r="K114" s="164" t="str" cm="1">
        <f t="array" aca="1" ref="K114" ca="1">_xll.d.TestUtils_Equal(C114,G114)</f>
        <v>Ok</v>
      </c>
      <c r="L114" s="164" t="str" cm="1">
        <f t="array" aca="1" ref="L114" ca="1">_xll.d.TestUtils_Equal(D114,H114)</f>
        <v>Ok</v>
      </c>
      <c r="M114" s="164" t="str" cm="1">
        <f t="array" aca="1" ref="M114" ca="1">_xll.d.TestUtils_Equal(E114,I114)</f>
        <v>Ok</v>
      </c>
    </row>
    <row r="115" spans="2:13">
      <c r="B115" s="89" t="str">
        <f ca="1"/>
        <v>1M</v>
      </c>
      <c r="C115" s="72" t="str">
        <f ca="1"/>
        <v>JIBAR</v>
      </c>
      <c r="D115" s="72">
        <f ca="1"/>
        <v>7.825E-2</v>
      </c>
      <c r="E115" s="72" t="str">
        <f ca="1"/>
        <v>TRUE</v>
      </c>
      <c r="F115" s="72" t="s">
        <v>628</v>
      </c>
      <c r="G115" s="72" t="s">
        <v>33</v>
      </c>
      <c r="H115" s="72">
        <v>7.825E-2</v>
      </c>
      <c r="I115" s="90" t="s">
        <v>654</v>
      </c>
      <c r="J115" s="164" t="str" cm="1">
        <f t="array" aca="1" ref="J115" ca="1">_xll.d.TestUtils_Equal(B115,F115)</f>
        <v>Ok</v>
      </c>
      <c r="K115" s="164" t="str" cm="1">
        <f t="array" aca="1" ref="K115" ca="1">_xll.d.TestUtils_Equal(C115,G115)</f>
        <v>Ok</v>
      </c>
      <c r="L115" s="164" t="str" cm="1">
        <f t="array" aca="1" ref="L115" ca="1">_xll.d.TestUtils_Equal(D115,H115)</f>
        <v>Ok</v>
      </c>
      <c r="M115" s="164" t="str" cm="1">
        <f t="array" aca="1" ref="M115" ca="1">_xll.d.TestUtils_Equal(E115,I115)</f>
        <v>Ok</v>
      </c>
    </row>
    <row r="116" spans="2:13">
      <c r="B116" s="89" t="str">
        <f ca="1"/>
        <v>3M</v>
      </c>
      <c r="C116" s="72" t="str">
        <f ca="1"/>
        <v>JIBAR</v>
      </c>
      <c r="D116" s="72">
        <f ca="1"/>
        <v>7.9579999999999998E-2</v>
      </c>
      <c r="E116" s="72" t="str">
        <f ca="1"/>
        <v>TRUE</v>
      </c>
      <c r="F116" s="72" t="s">
        <v>632</v>
      </c>
      <c r="G116" s="72" t="s">
        <v>33</v>
      </c>
      <c r="H116" s="72">
        <v>7.9579999999999998E-2</v>
      </c>
      <c r="I116" s="90" t="s">
        <v>654</v>
      </c>
      <c r="J116" s="164" t="str" cm="1">
        <f t="array" aca="1" ref="J116" ca="1">_xll.d.TestUtils_Equal(B116,F116)</f>
        <v>Ok</v>
      </c>
      <c r="K116" s="164" t="str" cm="1">
        <f t="array" aca="1" ref="K116" ca="1">_xll.d.TestUtils_Equal(C116,G116)</f>
        <v>Ok</v>
      </c>
      <c r="L116" s="164" t="str" cm="1">
        <f t="array" aca="1" ref="L116" ca="1">_xll.d.TestUtils_Equal(D116,H116)</f>
        <v>Ok</v>
      </c>
      <c r="M116" s="164" t="str" cm="1">
        <f t="array" aca="1" ref="M116" ca="1">_xll.d.TestUtils_Equal(E116,I116)</f>
        <v>Ok</v>
      </c>
    </row>
    <row r="117" spans="2:13">
      <c r="B117" s="89" t="str">
        <f ca="1"/>
        <v/>
      </c>
      <c r="C117" s="72" t="str">
        <f ca="1"/>
        <v/>
      </c>
      <c r="D117" s="72" t="str">
        <f ca="1"/>
        <v/>
      </c>
      <c r="E117" s="72" t="str">
        <f ca="1"/>
        <v/>
      </c>
      <c r="F117" s="72" t="s">
        <v>259</v>
      </c>
      <c r="G117" s="72" t="s">
        <v>259</v>
      </c>
      <c r="H117" s="72" t="s">
        <v>259</v>
      </c>
      <c r="I117" s="90" t="s">
        <v>259</v>
      </c>
      <c r="J117" s="164" t="str" cm="1">
        <f t="array" aca="1" ref="J117" ca="1">_xll.d.TestUtils_Equal(B117,F117)</f>
        <v>Ok</v>
      </c>
      <c r="K117" s="164" t="str" cm="1">
        <f t="array" aca="1" ref="K117" ca="1">_xll.d.TestUtils_Equal(C117,G117)</f>
        <v>Ok</v>
      </c>
      <c r="L117" s="164" t="str" cm="1">
        <f t="array" aca="1" ref="L117" ca="1">_xll.d.TestUtils_Equal(D117,H117)</f>
        <v>Ok</v>
      </c>
      <c r="M117" s="164" t="str" cm="1">
        <f t="array" aca="1" ref="M117" ca="1">_xll.d.TestUtils_Equal(E117,I117)</f>
        <v>Ok</v>
      </c>
    </row>
    <row r="118" spans="2:13">
      <c r="B118" s="89" t="str">
        <f ca="1"/>
        <v>FRAs</v>
      </c>
      <c r="C118" s="72" t="str">
        <f ca="1"/>
        <v/>
      </c>
      <c r="D118" s="72" t="str">
        <f ca="1"/>
        <v/>
      </c>
      <c r="E118" s="72" t="str">
        <f ca="1"/>
        <v/>
      </c>
      <c r="F118" s="72" t="s">
        <v>34</v>
      </c>
      <c r="G118" s="72" t="s">
        <v>259</v>
      </c>
      <c r="H118" s="72" t="s">
        <v>259</v>
      </c>
      <c r="I118" s="90" t="s">
        <v>259</v>
      </c>
      <c r="J118" s="164" t="str" cm="1">
        <f t="array" aca="1" ref="J118" ca="1">_xll.d.TestUtils_Equal(B118,F118)</f>
        <v>Ok</v>
      </c>
      <c r="K118" s="164" t="str" cm="1">
        <f t="array" aca="1" ref="K118" ca="1">_xll.d.TestUtils_Equal(C118,G118)</f>
        <v>Ok</v>
      </c>
      <c r="L118" s="164" t="str" cm="1">
        <f t="array" aca="1" ref="L118" ca="1">_xll.d.TestUtils_Equal(D118,H118)</f>
        <v>Ok</v>
      </c>
      <c r="M118" s="164" t="str" cm="1">
        <f t="array" aca="1" ref="M118" ca="1">_xll.d.TestUtils_Equal(E118,I118)</f>
        <v>Ok</v>
      </c>
    </row>
    <row r="119" spans="2:13">
      <c r="B119" s="89" t="str">
        <f ca="1"/>
        <v>FraTenors</v>
      </c>
      <c r="C119" s="72" t="str">
        <f ca="1"/>
        <v>RateIndex</v>
      </c>
      <c r="D119" s="72" t="str">
        <f ca="1"/>
        <v>Rates</v>
      </c>
      <c r="E119" s="72" t="str">
        <f ca="1"/>
        <v>Include</v>
      </c>
      <c r="F119" s="72" t="s">
        <v>194</v>
      </c>
      <c r="G119" s="72" t="s">
        <v>32</v>
      </c>
      <c r="H119" s="72" t="s">
        <v>36</v>
      </c>
      <c r="I119" s="90" t="s">
        <v>42</v>
      </c>
      <c r="J119" s="164" t="str" cm="1">
        <f t="array" aca="1" ref="J119" ca="1">_xll.d.TestUtils_Equal(B119,F119)</f>
        <v>Ok</v>
      </c>
      <c r="K119" s="164" t="str" cm="1">
        <f t="array" aca="1" ref="K119" ca="1">_xll.d.TestUtils_Equal(C119,G119)</f>
        <v>Ok</v>
      </c>
      <c r="L119" s="164" t="str" cm="1">
        <f t="array" aca="1" ref="L119" ca="1">_xll.d.TestUtils_Equal(D119,H119)</f>
        <v>Ok</v>
      </c>
      <c r="M119" s="164" t="str" cm="1">
        <f t="array" aca="1" ref="M119" ca="1">_xll.d.TestUtils_Equal(E119,I119)</f>
        <v>Ok</v>
      </c>
    </row>
    <row r="120" spans="2:13">
      <c r="B120" s="89" t="str">
        <f ca="1"/>
        <v>3x6</v>
      </c>
      <c r="C120" s="72" t="str">
        <f ca="1"/>
        <v>JIBAR</v>
      </c>
      <c r="D120" s="72">
        <f ca="1"/>
        <v>8.1799999999999998E-2</v>
      </c>
      <c r="E120" s="72" t="str">
        <f ca="1"/>
        <v>TRUE</v>
      </c>
      <c r="F120" s="72" t="s">
        <v>195</v>
      </c>
      <c r="G120" s="72" t="s">
        <v>33</v>
      </c>
      <c r="H120" s="72">
        <v>8.1799999999999998E-2</v>
      </c>
      <c r="I120" s="90" t="s">
        <v>654</v>
      </c>
      <c r="J120" s="164" t="str" cm="1">
        <f t="array" aca="1" ref="J120" ca="1">_xll.d.TestUtils_Equal(B120,F120)</f>
        <v>Ok</v>
      </c>
      <c r="K120" s="164" t="str" cm="1">
        <f t="array" aca="1" ref="K120" ca="1">_xll.d.TestUtils_Equal(C120,G120)</f>
        <v>Ok</v>
      </c>
      <c r="L120" s="164" t="str" cm="1">
        <f t="array" aca="1" ref="L120" ca="1">_xll.d.TestUtils_Equal(D120,H120)</f>
        <v>Ok</v>
      </c>
      <c r="M120" s="164" t="str" cm="1">
        <f t="array" aca="1" ref="M120" ca="1">_xll.d.TestUtils_Equal(E120,I120)</f>
        <v>Ok</v>
      </c>
    </row>
    <row r="121" spans="2:13">
      <c r="B121" s="89" t="str">
        <f ca="1"/>
        <v>6x9</v>
      </c>
      <c r="C121" s="72" t="str">
        <f ca="1"/>
        <v>JIBAR</v>
      </c>
      <c r="D121" s="72">
        <f ca="1"/>
        <v>8.2200000000000009E-2</v>
      </c>
      <c r="E121" s="72" t="str">
        <f ca="1"/>
        <v>TRUE</v>
      </c>
      <c r="F121" s="72" t="s">
        <v>196</v>
      </c>
      <c r="G121" s="72" t="s">
        <v>33</v>
      </c>
      <c r="H121" s="72">
        <v>8.2200000000000009E-2</v>
      </c>
      <c r="I121" s="90" t="s">
        <v>654</v>
      </c>
      <c r="J121" s="164" t="str" cm="1">
        <f t="array" aca="1" ref="J121" ca="1">_xll.d.TestUtils_Equal(B121,F121)</f>
        <v>Ok</v>
      </c>
      <c r="K121" s="164" t="str" cm="1">
        <f t="array" aca="1" ref="K121" ca="1">_xll.d.TestUtils_Equal(C121,G121)</f>
        <v>Ok</v>
      </c>
      <c r="L121" s="164" t="str" cm="1">
        <f t="array" aca="1" ref="L121" ca="1">_xll.d.TestUtils_Equal(D121,H121)</f>
        <v>Ok</v>
      </c>
      <c r="M121" s="164" t="str" cm="1">
        <f t="array" aca="1" ref="M121" ca="1">_xll.d.TestUtils_Equal(E121,I121)</f>
        <v>Ok</v>
      </c>
    </row>
    <row r="122" spans="2:13">
      <c r="B122" s="89" t="str">
        <f ca="1"/>
        <v>9x12</v>
      </c>
      <c r="C122" s="72" t="str">
        <f ca="1"/>
        <v>JIBAR</v>
      </c>
      <c r="D122" s="72">
        <f ca="1"/>
        <v>8.0749999999999988E-2</v>
      </c>
      <c r="E122" s="72" t="str">
        <f ca="1"/>
        <v>TRUE</v>
      </c>
      <c r="F122" s="72" t="s">
        <v>197</v>
      </c>
      <c r="G122" s="72" t="s">
        <v>33</v>
      </c>
      <c r="H122" s="72">
        <v>8.0749999999999988E-2</v>
      </c>
      <c r="I122" s="90" t="s">
        <v>654</v>
      </c>
      <c r="J122" s="164" t="str" cm="1">
        <f t="array" aca="1" ref="J122" ca="1">_xll.d.TestUtils_Equal(B122,F122)</f>
        <v>Ok</v>
      </c>
      <c r="K122" s="164" t="str" cm="1">
        <f t="array" aca="1" ref="K122" ca="1">_xll.d.TestUtils_Equal(C122,G122)</f>
        <v>Ok</v>
      </c>
      <c r="L122" s="164" t="str" cm="1">
        <f t="array" aca="1" ref="L122" ca="1">_xll.d.TestUtils_Equal(D122,H122)</f>
        <v>Ok</v>
      </c>
      <c r="M122" s="164" t="str" cm="1">
        <f t="array" aca="1" ref="M122" ca="1">_xll.d.TestUtils_Equal(E122,I122)</f>
        <v>Ok</v>
      </c>
    </row>
    <row r="123" spans="2:13">
      <c r="B123" s="89" t="str">
        <f ca="1"/>
        <v>12x15</v>
      </c>
      <c r="C123" s="72" t="str">
        <f ca="1"/>
        <v>JIBAR</v>
      </c>
      <c r="D123" s="72">
        <f ca="1"/>
        <v>7.8100000000000003E-2</v>
      </c>
      <c r="E123" s="72" t="str">
        <f ca="1"/>
        <v>TRUE</v>
      </c>
      <c r="F123" s="72" t="s">
        <v>588</v>
      </c>
      <c r="G123" s="72" t="s">
        <v>33</v>
      </c>
      <c r="H123" s="72">
        <v>7.8100000000000003E-2</v>
      </c>
      <c r="I123" s="90" t="s">
        <v>654</v>
      </c>
      <c r="J123" s="164" t="str" cm="1">
        <f t="array" aca="1" ref="J123" ca="1">_xll.d.TestUtils_Equal(B123,F123)</f>
        <v>Ok</v>
      </c>
      <c r="K123" s="164" t="str" cm="1">
        <f t="array" aca="1" ref="K123" ca="1">_xll.d.TestUtils_Equal(C123,G123)</f>
        <v>Ok</v>
      </c>
      <c r="L123" s="164" t="str" cm="1">
        <f t="array" aca="1" ref="L123" ca="1">_xll.d.TestUtils_Equal(D123,H123)</f>
        <v>Ok</v>
      </c>
      <c r="M123" s="164" t="str" cm="1">
        <f t="array" aca="1" ref="M123" ca="1">_xll.d.TestUtils_Equal(E123,I123)</f>
        <v>Ok</v>
      </c>
    </row>
    <row r="124" spans="2:13">
      <c r="B124" s="89" t="str">
        <f ca="1"/>
        <v>15x18</v>
      </c>
      <c r="C124" s="72" t="str">
        <f ca="1"/>
        <v>JIBAR</v>
      </c>
      <c r="D124" s="72">
        <f ca="1"/>
        <v>7.6649999999999996E-2</v>
      </c>
      <c r="E124" s="72" t="str">
        <f ca="1"/>
        <v>TRUE</v>
      </c>
      <c r="F124" s="72" t="s">
        <v>589</v>
      </c>
      <c r="G124" s="72" t="s">
        <v>33</v>
      </c>
      <c r="H124" s="72">
        <v>7.6649999999999996E-2</v>
      </c>
      <c r="I124" s="90" t="s">
        <v>654</v>
      </c>
      <c r="J124" s="164" t="str" cm="1">
        <f t="array" aca="1" ref="J124" ca="1">_xll.d.TestUtils_Equal(B124,F124)</f>
        <v>Ok</v>
      </c>
      <c r="K124" s="164" t="str" cm="1">
        <f t="array" aca="1" ref="K124" ca="1">_xll.d.TestUtils_Equal(C124,G124)</f>
        <v>Ok</v>
      </c>
      <c r="L124" s="164" t="str" cm="1">
        <f t="array" aca="1" ref="L124" ca="1">_xll.d.TestUtils_Equal(D124,H124)</f>
        <v>Ok</v>
      </c>
      <c r="M124" s="164" t="str" cm="1">
        <f t="array" aca="1" ref="M124" ca="1">_xll.d.TestUtils_Equal(E124,I124)</f>
        <v>Ok</v>
      </c>
    </row>
    <row r="125" spans="2:13">
      <c r="B125" s="89" t="str">
        <f ca="1"/>
        <v>18x21</v>
      </c>
      <c r="C125" s="72" t="str">
        <f ca="1"/>
        <v>JIBAR</v>
      </c>
      <c r="D125" s="72">
        <f ca="1"/>
        <v>7.5649999999999995E-2</v>
      </c>
      <c r="E125" s="72" t="str">
        <f ca="1"/>
        <v>TRUE</v>
      </c>
      <c r="F125" s="72" t="s">
        <v>590</v>
      </c>
      <c r="G125" s="72" t="s">
        <v>33</v>
      </c>
      <c r="H125" s="72">
        <v>7.5649999999999995E-2</v>
      </c>
      <c r="I125" s="90" t="s">
        <v>654</v>
      </c>
      <c r="J125" s="164" t="str" cm="1">
        <f t="array" aca="1" ref="J125" ca="1">_xll.d.TestUtils_Equal(B125,F125)</f>
        <v>Ok</v>
      </c>
      <c r="K125" s="164" t="str" cm="1">
        <f t="array" aca="1" ref="K125" ca="1">_xll.d.TestUtils_Equal(C125,G125)</f>
        <v>Ok</v>
      </c>
      <c r="L125" s="164" t="str" cm="1">
        <f t="array" aca="1" ref="L125" ca="1">_xll.d.TestUtils_Equal(D125,H125)</f>
        <v>Ok</v>
      </c>
      <c r="M125" s="164" t="str" cm="1">
        <f t="array" aca="1" ref="M125" ca="1">_xll.d.TestUtils_Equal(E125,I125)</f>
        <v>Ok</v>
      </c>
    </row>
    <row r="126" spans="2:13">
      <c r="B126" s="89" t="str">
        <f ca="1"/>
        <v>21x24</v>
      </c>
      <c r="C126" s="72" t="str">
        <f ca="1"/>
        <v>JIBAR</v>
      </c>
      <c r="D126" s="72">
        <f ca="1"/>
        <v>7.5199999999999989E-2</v>
      </c>
      <c r="E126" s="72" t="str">
        <f ca="1"/>
        <v>TRUE</v>
      </c>
      <c r="F126" s="72" t="s">
        <v>591</v>
      </c>
      <c r="G126" s="72" t="s">
        <v>33</v>
      </c>
      <c r="H126" s="72">
        <v>7.5199999999999989E-2</v>
      </c>
      <c r="I126" s="90" t="s">
        <v>654</v>
      </c>
      <c r="J126" s="164" t="str" cm="1">
        <f t="array" aca="1" ref="J126" ca="1">_xll.d.TestUtils_Equal(B126,F126)</f>
        <v>Ok</v>
      </c>
      <c r="K126" s="164" t="str" cm="1">
        <f t="array" aca="1" ref="K126" ca="1">_xll.d.TestUtils_Equal(C126,G126)</f>
        <v>Ok</v>
      </c>
      <c r="L126" s="164" t="str" cm="1">
        <f t="array" aca="1" ref="L126" ca="1">_xll.d.TestUtils_Equal(D126,H126)</f>
        <v>Ok</v>
      </c>
      <c r="M126" s="164" t="str" cm="1">
        <f t="array" aca="1" ref="M126" ca="1">_xll.d.TestUtils_Equal(E126,I126)</f>
        <v>Ok</v>
      </c>
    </row>
    <row r="127" spans="2:13">
      <c r="B127" s="89" t="str">
        <f ca="1"/>
        <v/>
      </c>
      <c r="C127" s="72" t="str">
        <f ca="1"/>
        <v/>
      </c>
      <c r="D127" s="72" t="str">
        <f ca="1"/>
        <v/>
      </c>
      <c r="E127" s="72" t="str">
        <f ca="1"/>
        <v/>
      </c>
      <c r="F127" s="72" t="s">
        <v>259</v>
      </c>
      <c r="G127" s="72" t="s">
        <v>259</v>
      </c>
      <c r="H127" s="72" t="s">
        <v>259</v>
      </c>
      <c r="I127" s="90" t="s">
        <v>259</v>
      </c>
      <c r="J127" s="164" t="str" cm="1">
        <f t="array" aca="1" ref="J127" ca="1">_xll.d.TestUtils_Equal(B127,F127)</f>
        <v>Ok</v>
      </c>
      <c r="K127" s="164" t="str" cm="1">
        <f t="array" aca="1" ref="K127" ca="1">_xll.d.TestUtils_Equal(C127,G127)</f>
        <v>Ok</v>
      </c>
      <c r="L127" s="164" t="str" cm="1">
        <f t="array" aca="1" ref="L127" ca="1">_xll.d.TestUtils_Equal(D127,H127)</f>
        <v>Ok</v>
      </c>
      <c r="M127" s="164" t="str" cm="1">
        <f t="array" aca="1" ref="M127" ca="1">_xll.d.TestUtils_Equal(E127,I127)</f>
        <v>Ok</v>
      </c>
    </row>
    <row r="128" spans="2:13">
      <c r="B128" s="89" t="str">
        <f ca="1"/>
        <v>Interest Rate Swaps</v>
      </c>
      <c r="C128" s="72" t="str">
        <f ca="1"/>
        <v/>
      </c>
      <c r="D128" s="72" t="str">
        <f ca="1"/>
        <v/>
      </c>
      <c r="E128" s="72" t="str">
        <f ca="1"/>
        <v/>
      </c>
      <c r="F128" s="72" t="s">
        <v>40</v>
      </c>
      <c r="G128" s="72" t="s">
        <v>259</v>
      </c>
      <c r="H128" s="72" t="s">
        <v>259</v>
      </c>
      <c r="I128" s="90" t="s">
        <v>259</v>
      </c>
      <c r="J128" s="164" t="str" cm="1">
        <f t="array" aca="1" ref="J128" ca="1">_xll.d.TestUtils_Equal(B128,F128)</f>
        <v>Ok</v>
      </c>
      <c r="K128" s="164" t="str" cm="1">
        <f t="array" aca="1" ref="K128" ca="1">_xll.d.TestUtils_Equal(C128,G128)</f>
        <v>Ok</v>
      </c>
      <c r="L128" s="164" t="str" cm="1">
        <f t="array" aca="1" ref="L128" ca="1">_xll.d.TestUtils_Equal(D128,H128)</f>
        <v>Ok</v>
      </c>
      <c r="M128" s="164" t="str" cm="1">
        <f t="array" aca="1" ref="M128" ca="1">_xll.d.TestUtils_Equal(E128,I128)</f>
        <v>Ok</v>
      </c>
    </row>
    <row r="129" spans="2:13">
      <c r="B129" s="89" t="str">
        <f ca="1"/>
        <v>Tenors</v>
      </c>
      <c r="C129" s="72" t="str">
        <f ca="1"/>
        <v>RateIndex</v>
      </c>
      <c r="D129" s="72" t="str">
        <f ca="1"/>
        <v>Rates</v>
      </c>
      <c r="E129" s="72" t="str">
        <f ca="1"/>
        <v>Include</v>
      </c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aca="1" ref="J129" ca="1">_xll.d.TestUtils_Equal(B129,F129)</f>
        <v>Ok</v>
      </c>
      <c r="K129" s="164" t="str" cm="1">
        <f t="array" aca="1" ref="K129" ca="1">_xll.d.TestUtils_Equal(C129,G129)</f>
        <v>Ok</v>
      </c>
      <c r="L129" s="164" t="str" cm="1">
        <f t="array" aca="1" ref="L129" ca="1">_xll.d.TestUtils_Equal(D129,H129)</f>
        <v>Ok</v>
      </c>
      <c r="M129" s="164" t="str" cm="1">
        <f t="array" aca="1" ref="M129" ca="1">_xll.d.TestUtils_Equal(E129,I129)</f>
        <v>Ok</v>
      </c>
    </row>
    <row r="130" spans="2:13">
      <c r="B130" s="89" t="str">
        <f ca="1"/>
        <v>3Y</v>
      </c>
      <c r="C130" s="72" t="str">
        <f ca="1"/>
        <v>JIBAR</v>
      </c>
      <c r="D130" s="72">
        <f ca="1"/>
        <v>7.85E-2</v>
      </c>
      <c r="E130" s="72" t="str">
        <f ca="1"/>
        <v>TRUE</v>
      </c>
      <c r="F130" s="72" t="s">
        <v>655</v>
      </c>
      <c r="G130" s="72" t="s">
        <v>33</v>
      </c>
      <c r="H130" s="72">
        <v>7.85E-2</v>
      </c>
      <c r="I130" s="90" t="s">
        <v>654</v>
      </c>
      <c r="J130" s="164" t="str" cm="1">
        <f t="array" aca="1" ref="J130" ca="1">_xll.d.TestUtils_Equal(B130,F130)</f>
        <v>Ok</v>
      </c>
      <c r="K130" s="164" t="str" cm="1">
        <f t="array" aca="1" ref="K130" ca="1">_xll.d.TestUtils_Equal(C130,G130)</f>
        <v>Ok</v>
      </c>
      <c r="L130" s="164" t="str" cm="1">
        <f t="array" aca="1" ref="L130" ca="1">_xll.d.TestUtils_Equal(D130,H130)</f>
        <v>Ok</v>
      </c>
      <c r="M130" s="164" t="str" cm="1">
        <f t="array" aca="1" ref="M130" ca="1">_xll.d.TestUtils_Equal(E130,I130)</f>
        <v>Ok</v>
      </c>
    </row>
    <row r="131" spans="2:13">
      <c r="B131" s="89" t="str">
        <f ca="1"/>
        <v>4Y</v>
      </c>
      <c r="C131" s="72" t="str">
        <f ca="1"/>
        <v>JIBAR</v>
      </c>
      <c r="D131" s="72">
        <f ca="1"/>
        <v>7.9500000000000001E-2</v>
      </c>
      <c r="E131" s="72" t="str">
        <f ca="1"/>
        <v>TRUE</v>
      </c>
      <c r="F131" s="72" t="s">
        <v>656</v>
      </c>
      <c r="G131" s="72" t="s">
        <v>33</v>
      </c>
      <c r="H131" s="72">
        <v>7.9500000000000001E-2</v>
      </c>
      <c r="I131" s="90" t="s">
        <v>654</v>
      </c>
      <c r="J131" s="164" t="str" cm="1">
        <f t="array" aca="1" ref="J131" ca="1">_xll.d.TestUtils_Equal(B131,F131)</f>
        <v>Ok</v>
      </c>
      <c r="K131" s="164" t="str" cm="1">
        <f t="array" aca="1" ref="K131" ca="1">_xll.d.TestUtils_Equal(C131,G131)</f>
        <v>Ok</v>
      </c>
      <c r="L131" s="164" t="str" cm="1">
        <f t="array" aca="1" ref="L131" ca="1">_xll.d.TestUtils_Equal(D131,H131)</f>
        <v>Ok</v>
      </c>
      <c r="M131" s="164" t="str" cm="1">
        <f t="array" aca="1" ref="M131" ca="1">_xll.d.TestUtils_Equal(E131,I131)</f>
        <v>Ok</v>
      </c>
    </row>
    <row r="132" spans="2:13">
      <c r="B132" s="89" t="str">
        <f ca="1"/>
        <v>5Y</v>
      </c>
      <c r="C132" s="72" t="str">
        <f ca="1"/>
        <v>JIBAR</v>
      </c>
      <c r="D132" s="72">
        <f ca="1"/>
        <v>8.1199999999999994E-2</v>
      </c>
      <c r="E132" s="72" t="str">
        <f ca="1"/>
        <v>TRUE</v>
      </c>
      <c r="F132" s="72" t="s">
        <v>657</v>
      </c>
      <c r="G132" s="72" t="s">
        <v>33</v>
      </c>
      <c r="H132" s="72">
        <v>8.1199999999999994E-2</v>
      </c>
      <c r="I132" s="90" t="s">
        <v>654</v>
      </c>
      <c r="J132" s="164" t="str" cm="1">
        <f t="array" aca="1" ref="J132" ca="1">_xll.d.TestUtils_Equal(B132,F132)</f>
        <v>Ok</v>
      </c>
      <c r="K132" s="164" t="str" cm="1">
        <f t="array" aca="1" ref="K132" ca="1">_xll.d.TestUtils_Equal(C132,G132)</f>
        <v>Ok</v>
      </c>
      <c r="L132" s="164" t="str" cm="1">
        <f t="array" aca="1" ref="L132" ca="1">_xll.d.TestUtils_Equal(D132,H132)</f>
        <v>Ok</v>
      </c>
      <c r="M132" s="164" t="str" cm="1">
        <f t="array" aca="1" ref="M132" ca="1">_xll.d.TestUtils_Equal(E132,I132)</f>
        <v>Ok</v>
      </c>
    </row>
    <row r="133" spans="2:13">
      <c r="B133" s="89" t="str">
        <f ca="1"/>
        <v>6Y</v>
      </c>
      <c r="C133" s="72" t="str">
        <f ca="1"/>
        <v>JIBAR</v>
      </c>
      <c r="D133" s="72">
        <f ca="1"/>
        <v>8.3499999999999991E-2</v>
      </c>
      <c r="E133" s="72" t="str">
        <f ca="1"/>
        <v>TRUE</v>
      </c>
      <c r="F133" s="72" t="s">
        <v>658</v>
      </c>
      <c r="G133" s="72" t="s">
        <v>33</v>
      </c>
      <c r="H133" s="72">
        <v>8.3499999999999991E-2</v>
      </c>
      <c r="I133" s="90" t="s">
        <v>654</v>
      </c>
      <c r="J133" s="164" t="str" cm="1">
        <f t="array" aca="1" ref="J133" ca="1">_xll.d.TestUtils_Equal(B133,F133)</f>
        <v>Ok</v>
      </c>
      <c r="K133" s="164" t="str" cm="1">
        <f t="array" aca="1" ref="K133" ca="1">_xll.d.TestUtils_Equal(C133,G133)</f>
        <v>Ok</v>
      </c>
      <c r="L133" s="164" t="str" cm="1">
        <f t="array" aca="1" ref="L133" ca="1">_xll.d.TestUtils_Equal(D133,H133)</f>
        <v>Ok</v>
      </c>
      <c r="M133" s="164" t="str" cm="1">
        <f t="array" aca="1" ref="M133" ca="1">_xll.d.TestUtils_Equal(E133,I133)</f>
        <v>Ok</v>
      </c>
    </row>
    <row r="134" spans="2:13">
      <c r="B134" s="89" t="str">
        <f ca="1"/>
        <v>7Y</v>
      </c>
      <c r="C134" s="72" t="str">
        <f ca="1"/>
        <v>JIBAR</v>
      </c>
      <c r="D134" s="72">
        <f ca="1"/>
        <v>8.585000000000001E-2</v>
      </c>
      <c r="E134" s="72" t="str">
        <f ca="1"/>
        <v>TRUE</v>
      </c>
      <c r="F134" s="72" t="s">
        <v>659</v>
      </c>
      <c r="G134" s="72" t="s">
        <v>33</v>
      </c>
      <c r="H134" s="72">
        <v>8.585000000000001E-2</v>
      </c>
      <c r="I134" s="90" t="s">
        <v>654</v>
      </c>
      <c r="J134" s="164" t="str" cm="1">
        <f t="array" aca="1" ref="J134" ca="1">_xll.d.TestUtils_Equal(B134,F134)</f>
        <v>Ok</v>
      </c>
      <c r="K134" s="164" t="str" cm="1">
        <f t="array" aca="1" ref="K134" ca="1">_xll.d.TestUtils_Equal(C134,G134)</f>
        <v>Ok</v>
      </c>
      <c r="L134" s="164" t="str" cm="1">
        <f t="array" aca="1" ref="L134" ca="1">_xll.d.TestUtils_Equal(D134,H134)</f>
        <v>Ok</v>
      </c>
      <c r="M134" s="164" t="str" cm="1">
        <f t="array" aca="1" ref="M134" ca="1">_xll.d.TestUtils_Equal(E134,I134)</f>
        <v>Ok</v>
      </c>
    </row>
    <row r="135" spans="2:13">
      <c r="B135" s="89" t="str">
        <f ca="1"/>
        <v>8Y</v>
      </c>
      <c r="C135" s="72" t="str">
        <f ca="1"/>
        <v>JIBAR</v>
      </c>
      <c r="D135" s="72">
        <f ca="1"/>
        <v>8.7899999999999992E-2</v>
      </c>
      <c r="E135" s="72" t="str">
        <f ca="1"/>
        <v>TRUE</v>
      </c>
      <c r="F135" s="72" t="s">
        <v>660</v>
      </c>
      <c r="G135" s="72" t="s">
        <v>33</v>
      </c>
      <c r="H135" s="72">
        <v>8.7899999999999992E-2</v>
      </c>
      <c r="I135" s="90" t="s">
        <v>654</v>
      </c>
      <c r="J135" s="164" t="str" cm="1">
        <f t="array" aca="1" ref="J135" ca="1">_xll.d.TestUtils_Equal(B135,F135)</f>
        <v>Ok</v>
      </c>
      <c r="K135" s="164" t="str" cm="1">
        <f t="array" aca="1" ref="K135" ca="1">_xll.d.TestUtils_Equal(C135,G135)</f>
        <v>Ok</v>
      </c>
      <c r="L135" s="164" t="str" cm="1">
        <f t="array" aca="1" ref="L135" ca="1">_xll.d.TestUtils_Equal(D135,H135)</f>
        <v>Ok</v>
      </c>
      <c r="M135" s="164" t="str" cm="1">
        <f t="array" aca="1" ref="M135" ca="1">_xll.d.TestUtils_Equal(E135,I135)</f>
        <v>Ok</v>
      </c>
    </row>
    <row r="136" spans="2:13">
      <c r="B136" s="89" t="str">
        <f ca="1"/>
        <v>9Y</v>
      </c>
      <c r="C136" s="72" t="str">
        <f ca="1"/>
        <v>JIBAR</v>
      </c>
      <c r="D136" s="72">
        <f ca="1"/>
        <v>8.9499999999999996E-2</v>
      </c>
      <c r="E136" s="72" t="str">
        <f ca="1"/>
        <v>TRUE</v>
      </c>
      <c r="F136" s="72" t="s">
        <v>661</v>
      </c>
      <c r="G136" s="72" t="s">
        <v>33</v>
      </c>
      <c r="H136" s="72">
        <v>8.9499999999999996E-2</v>
      </c>
      <c r="I136" s="90" t="s">
        <v>654</v>
      </c>
      <c r="J136" s="164" t="str" cm="1">
        <f t="array" aca="1" ref="J136" ca="1">_xll.d.TestUtils_Equal(B136,F136)</f>
        <v>Ok</v>
      </c>
      <c r="K136" s="164" t="str" cm="1">
        <f t="array" aca="1" ref="K136" ca="1">_xll.d.TestUtils_Equal(C136,G136)</f>
        <v>Ok</v>
      </c>
      <c r="L136" s="164" t="str" cm="1">
        <f t="array" aca="1" ref="L136" ca="1">_xll.d.TestUtils_Equal(D136,H136)</f>
        <v>Ok</v>
      </c>
      <c r="M136" s="164" t="str" cm="1">
        <f t="array" aca="1" ref="M136" ca="1">_xll.d.TestUtils_Equal(E136,I136)</f>
        <v>Ok</v>
      </c>
    </row>
    <row r="137" spans="2:13">
      <c r="B137" s="89" t="str">
        <f ca="1"/>
        <v>10Y</v>
      </c>
      <c r="C137" s="72" t="str">
        <f ca="1"/>
        <v>JIBAR</v>
      </c>
      <c r="D137" s="72">
        <f ca="1"/>
        <v>9.06E-2</v>
      </c>
      <c r="E137" s="72" t="str">
        <f ca="1"/>
        <v>TRUE</v>
      </c>
      <c r="F137" s="72" t="s">
        <v>662</v>
      </c>
      <c r="G137" s="72" t="s">
        <v>33</v>
      </c>
      <c r="H137" s="72">
        <v>9.06E-2</v>
      </c>
      <c r="I137" s="90" t="s">
        <v>654</v>
      </c>
      <c r="J137" s="164" t="str" cm="1">
        <f t="array" aca="1" ref="J137" ca="1">_xll.d.TestUtils_Equal(B137,F137)</f>
        <v>Ok</v>
      </c>
      <c r="K137" s="164" t="str" cm="1">
        <f t="array" aca="1" ref="K137" ca="1">_xll.d.TestUtils_Equal(C137,G137)</f>
        <v>Ok</v>
      </c>
      <c r="L137" s="164" t="str" cm="1">
        <f t="array" aca="1" ref="L137" ca="1">_xll.d.TestUtils_Equal(D137,H137)</f>
        <v>Ok</v>
      </c>
      <c r="M137" s="164" t="str" cm="1">
        <f t="array" aca="1" ref="M137" ca="1">_xll.d.TestUtils_Equal(E137,I137)</f>
        <v>Ok</v>
      </c>
    </row>
    <row r="138" spans="2:13">
      <c r="B138" s="89" t="str">
        <f ca="1"/>
        <v>12Y</v>
      </c>
      <c r="C138" s="72" t="str">
        <f ca="1"/>
        <v>JIBAR</v>
      </c>
      <c r="D138" s="72">
        <f ca="1"/>
        <v>9.2600000000000002E-2</v>
      </c>
      <c r="E138" s="72" t="str">
        <f ca="1"/>
        <v>TRUE</v>
      </c>
      <c r="F138" s="72" t="s">
        <v>663</v>
      </c>
      <c r="G138" s="72" t="s">
        <v>33</v>
      </c>
      <c r="H138" s="72">
        <v>9.2600000000000002E-2</v>
      </c>
      <c r="I138" s="90" t="s">
        <v>654</v>
      </c>
      <c r="J138" s="164" t="str" cm="1">
        <f t="array" aca="1" ref="J138" ca="1">_xll.d.TestUtils_Equal(B138,F138)</f>
        <v>Ok</v>
      </c>
      <c r="K138" s="164" t="str" cm="1">
        <f t="array" aca="1" ref="K138" ca="1">_xll.d.TestUtils_Equal(C138,G138)</f>
        <v>Ok</v>
      </c>
      <c r="L138" s="164" t="str" cm="1">
        <f t="array" aca="1" ref="L138" ca="1">_xll.d.TestUtils_Equal(D138,H138)</f>
        <v>Ok</v>
      </c>
      <c r="M138" s="164" t="str" cm="1">
        <f t="array" aca="1" ref="M138" ca="1">_xll.d.TestUtils_Equal(E138,I138)</f>
        <v>Ok</v>
      </c>
    </row>
    <row r="139" spans="2:13">
      <c r="B139" s="89" t="str">
        <f ca="1"/>
        <v>15Y</v>
      </c>
      <c r="C139" s="72" t="str">
        <f ca="1"/>
        <v>JIBAR</v>
      </c>
      <c r="D139" s="72">
        <f ca="1"/>
        <v>9.3900000000000011E-2</v>
      </c>
      <c r="E139" s="72" t="str">
        <f ca="1"/>
        <v>TRUE</v>
      </c>
      <c r="F139" s="72" t="s">
        <v>664</v>
      </c>
      <c r="G139" s="72" t="s">
        <v>33</v>
      </c>
      <c r="H139" s="72">
        <v>9.3900000000000011E-2</v>
      </c>
      <c r="I139" s="90" t="s">
        <v>654</v>
      </c>
      <c r="J139" s="164" t="str" cm="1">
        <f t="array" aca="1" ref="J139" ca="1">_xll.d.TestUtils_Equal(B139,F139)</f>
        <v>Ok</v>
      </c>
      <c r="K139" s="164" t="str" cm="1">
        <f t="array" aca="1" ref="K139" ca="1">_xll.d.TestUtils_Equal(C139,G139)</f>
        <v>Ok</v>
      </c>
      <c r="L139" s="164" t="str" cm="1">
        <f t="array" aca="1" ref="L139" ca="1">_xll.d.TestUtils_Equal(D139,H139)</f>
        <v>Ok</v>
      </c>
      <c r="M139" s="164" t="str" cm="1">
        <f t="array" aca="1" ref="M139" ca="1">_xll.d.TestUtils_Equal(E139,I139)</f>
        <v>Ok</v>
      </c>
    </row>
    <row r="140" spans="2:13">
      <c r="B140" s="89" t="str">
        <f ca="1"/>
        <v>20Y</v>
      </c>
      <c r="C140" s="72" t="str">
        <f ca="1"/>
        <v>JIBAR</v>
      </c>
      <c r="D140" s="72">
        <f ca="1"/>
        <v>9.35E-2</v>
      </c>
      <c r="E140" s="72" t="str">
        <f ca="1"/>
        <v>TRUE</v>
      </c>
      <c r="F140" s="72" t="s">
        <v>665</v>
      </c>
      <c r="G140" s="72" t="s">
        <v>33</v>
      </c>
      <c r="H140" s="72">
        <v>9.35E-2</v>
      </c>
      <c r="I140" s="90" t="s">
        <v>654</v>
      </c>
      <c r="J140" s="164" t="str" cm="1">
        <f t="array" aca="1" ref="J140" ca="1">_xll.d.TestUtils_Equal(B140,F140)</f>
        <v>Ok</v>
      </c>
      <c r="K140" s="164" t="str" cm="1">
        <f t="array" aca="1" ref="K140" ca="1">_xll.d.TestUtils_Equal(C140,G140)</f>
        <v>Ok</v>
      </c>
      <c r="L140" s="164" t="str" cm="1">
        <f t="array" aca="1" ref="L140" ca="1">_xll.d.TestUtils_Equal(D140,H140)</f>
        <v>Ok</v>
      </c>
      <c r="M140" s="164" t="str" cm="1">
        <f t="array" aca="1" ref="M140" ca="1">_xll.d.TestUtils_Equal(E140,I140)</f>
        <v>Ok</v>
      </c>
    </row>
    <row r="141" spans="2:13">
      <c r="B141" s="89" t="str">
        <f ca="1"/>
        <v>25Y</v>
      </c>
      <c r="C141" s="72" t="str">
        <f ca="1"/>
        <v>JIBAR</v>
      </c>
      <c r="D141" s="72">
        <f ca="1"/>
        <v>9.2100000000000015E-2</v>
      </c>
      <c r="E141" s="72" t="str">
        <f ca="1"/>
        <v>TRUE</v>
      </c>
      <c r="F141" s="72" t="s">
        <v>666</v>
      </c>
      <c r="G141" s="72" t="s">
        <v>33</v>
      </c>
      <c r="H141" s="72">
        <v>9.2100000000000015E-2</v>
      </c>
      <c r="I141" s="90" t="s">
        <v>654</v>
      </c>
      <c r="J141" s="164" t="str" cm="1">
        <f t="array" aca="1" ref="J141" ca="1">_xll.d.TestUtils_Equal(B141,F141)</f>
        <v>Ok</v>
      </c>
      <c r="K141" s="164" t="str" cm="1">
        <f t="array" aca="1" ref="K141" ca="1">_xll.d.TestUtils_Equal(C141,G141)</f>
        <v>Ok</v>
      </c>
      <c r="L141" s="164" t="str" cm="1">
        <f t="array" aca="1" ref="L141" ca="1">_xll.d.TestUtils_Equal(D141,H141)</f>
        <v>Ok</v>
      </c>
      <c r="M141" s="164" t="str" cm="1">
        <f t="array" aca="1" ref="M141" ca="1">_xll.d.TestUtils_Equal(E141,I141)</f>
        <v>Ok</v>
      </c>
    </row>
    <row r="142" spans="2:13">
      <c r="B142" s="878" t="str">
        <f ca="1"/>
        <v>30Y</v>
      </c>
      <c r="C142" s="879" t="str">
        <f ca="1"/>
        <v>JIBAR</v>
      </c>
      <c r="D142" s="879">
        <f ca="1"/>
        <v>8.9700000000000002E-2</v>
      </c>
      <c r="E142" s="879" t="str">
        <f ca="1"/>
        <v>TRUE</v>
      </c>
      <c r="F142" s="879" t="s">
        <v>667</v>
      </c>
      <c r="G142" s="879" t="s">
        <v>33</v>
      </c>
      <c r="H142" s="879">
        <v>8.9700000000000002E-2</v>
      </c>
      <c r="I142" s="880" t="s">
        <v>654</v>
      </c>
      <c r="J142" s="164" t="str" cm="1">
        <f t="array" aca="1" ref="J142" ca="1">_xll.d.TestUtils_Equal(B142,F142)</f>
        <v>Ok</v>
      </c>
      <c r="K142" s="164" t="str" cm="1">
        <f t="array" aca="1" ref="K142" ca="1">_xll.d.TestUtils_Equal(C142,G142)</f>
        <v>Ok</v>
      </c>
      <c r="L142" s="164" t="str" cm="1">
        <f t="array" aca="1" ref="L142" ca="1">_xll.d.TestUtils_Equal(D142,H142)</f>
        <v>Ok</v>
      </c>
      <c r="M142" s="164" t="str" cm="1">
        <f t="array" aca="1" ref="M142" ca="1">_xll.d.TestUtils_Equal(E142,I142)</f>
        <v>Ok</v>
      </c>
    </row>
    <row r="168" spans="4:4">
      <c r="D168" s="889"/>
    </row>
    <row r="169" spans="4:4">
      <c r="D169" s="889"/>
    </row>
    <row r="170" spans="4:4">
      <c r="D170" s="889"/>
    </row>
    <row r="171" spans="4:4">
      <c r="D171" s="889"/>
    </row>
    <row r="218" spans="2:2">
      <c r="B218" s="1">
        <v>45016</v>
      </c>
    </row>
    <row r="219" spans="2:2">
      <c r="B219" t="s">
        <v>648</v>
      </c>
    </row>
    <row r="221" spans="2:2">
      <c r="B221" t="str" cm="1">
        <f t="array" aca="1" ref="B221" ca="1">_xll.d.Curve_Get("MyZarCurve",B219,B218)</f>
        <v>@@MyZarCurve::10:21:28</v>
      </c>
    </row>
    <row r="225" spans="2:8">
      <c r="B225" s="8">
        <f>B218</f>
        <v>45016</v>
      </c>
      <c r="C225" cm="1">
        <f t="array" aca="1" ref="C225:C241" ca="1">_xll.d.Curve_GetDiscountFactors(B221,B225:B241)</f>
        <v>1</v>
      </c>
      <c r="E225" t="str" cm="1">
        <f t="array" aca="1" ref="E225:H255" ca="1">_xll.d.Curve_GetInstruments(B221)</f>
        <v>Deposits</v>
      </c>
      <c r="F225" t="str">
        <f ca="1"/>
        <v/>
      </c>
      <c r="G225" t="str">
        <f ca="1"/>
        <v/>
      </c>
      <c r="H225" t="str">
        <f ca="1"/>
        <v/>
      </c>
    </row>
    <row r="226" spans="2:8">
      <c r="B226" s="8">
        <f>EDATE(B225,1)</f>
        <v>45046</v>
      </c>
      <c r="C226">
        <f ca="1"/>
        <v>0.99360206292619835</v>
      </c>
      <c r="E226" t="str">
        <f ca="1"/>
        <v>Tenors</v>
      </c>
      <c r="F226" t="str">
        <f ca="1"/>
        <v>RateIndex</v>
      </c>
      <c r="G226" t="str">
        <f ca="1"/>
        <v>Rates</v>
      </c>
      <c r="H226" t="str">
        <f ca="1"/>
        <v>Include</v>
      </c>
    </row>
    <row r="227" spans="2:8">
      <c r="B227" s="8">
        <f t="shared" ref="B227:B241" si="7">EDATE(B226,1)</f>
        <v>45076</v>
      </c>
      <c r="C227">
        <f ca="1"/>
        <v>0.98715921592479683</v>
      </c>
      <c r="E227" t="str">
        <f ca="1"/>
        <v>1D</v>
      </c>
      <c r="F227" t="str">
        <f ca="1"/>
        <v>JIBAR</v>
      </c>
      <c r="G227">
        <f ca="1"/>
        <v>7.0699999999999999E-2</v>
      </c>
      <c r="H227" t="str">
        <f ca="1"/>
        <v>TRUE</v>
      </c>
    </row>
    <row r="228" spans="2:8">
      <c r="B228" s="8">
        <f t="shared" si="7"/>
        <v>45107</v>
      </c>
      <c r="C228">
        <f ca="1"/>
        <v>0.98054549384542489</v>
      </c>
      <c r="E228" t="str">
        <f ca="1"/>
        <v>1M</v>
      </c>
      <c r="F228" t="str">
        <f ca="1"/>
        <v>JIBAR</v>
      </c>
      <c r="G228">
        <f ca="1"/>
        <v>7.825E-2</v>
      </c>
      <c r="H228" t="str">
        <f ca="1"/>
        <v>TRUE</v>
      </c>
    </row>
    <row r="229" spans="2:8">
      <c r="B229" s="8">
        <f t="shared" si="7"/>
        <v>45137</v>
      </c>
      <c r="C229">
        <f ca="1"/>
        <v>0.97404099755704798</v>
      </c>
      <c r="E229" t="str">
        <f ca="1"/>
        <v>3M</v>
      </c>
      <c r="F229" t="str">
        <f ca="1"/>
        <v>JIBAR</v>
      </c>
      <c r="G229">
        <f ca="1"/>
        <v>7.9579999999999998E-2</v>
      </c>
      <c r="H229" t="str">
        <f ca="1"/>
        <v>TRUE</v>
      </c>
    </row>
    <row r="230" spans="2:8">
      <c r="B230" s="8">
        <f t="shared" si="7"/>
        <v>45168</v>
      </c>
      <c r="C230">
        <f ca="1"/>
        <v>0.96736501063792335</v>
      </c>
      <c r="E230" t="str">
        <f ca="1"/>
        <v/>
      </c>
      <c r="F230" t="str">
        <f ca="1"/>
        <v/>
      </c>
      <c r="G230" t="str">
        <f ca="1"/>
        <v/>
      </c>
      <c r="H230" t="str">
        <f ca="1"/>
        <v/>
      </c>
    </row>
    <row r="231" spans="2:8">
      <c r="B231" s="8">
        <f t="shared" si="7"/>
        <v>45199</v>
      </c>
      <c r="C231">
        <f ca="1"/>
        <v>0.96073374854954541</v>
      </c>
      <c r="E231" t="str">
        <f ca="1"/>
        <v>FRAs</v>
      </c>
      <c r="F231" t="str">
        <f ca="1"/>
        <v/>
      </c>
      <c r="G231" t="str">
        <f ca="1"/>
        <v/>
      </c>
      <c r="H231" t="str">
        <f ca="1"/>
        <v/>
      </c>
    </row>
    <row r="232" spans="2:8">
      <c r="B232" s="8">
        <f t="shared" si="7"/>
        <v>45229</v>
      </c>
      <c r="C232">
        <f ca="1"/>
        <v>0.95432992729213317</v>
      </c>
      <c r="E232" t="str">
        <f ca="1"/>
        <v>FraTenors</v>
      </c>
      <c r="F232" t="str">
        <f ca="1"/>
        <v>RateIndex</v>
      </c>
      <c r="G232" t="str">
        <f ca="1"/>
        <v>Rates</v>
      </c>
      <c r="H232" t="str">
        <f ca="1"/>
        <v>Include</v>
      </c>
    </row>
    <row r="233" spans="2:8">
      <c r="B233" s="8">
        <f t="shared" si="7"/>
        <v>45260</v>
      </c>
      <c r="C233">
        <f ca="1"/>
        <v>0.94775748497077994</v>
      </c>
      <c r="E233" t="str">
        <f ca="1"/>
        <v>3x6</v>
      </c>
      <c r="F233" t="str">
        <f ca="1"/>
        <v>JIBAR</v>
      </c>
      <c r="G233">
        <f ca="1"/>
        <v>8.1799999999999998E-2</v>
      </c>
      <c r="H233" t="str">
        <f ca="1"/>
        <v>TRUE</v>
      </c>
    </row>
    <row r="234" spans="2:8">
      <c r="B234" s="8">
        <f t="shared" si="7"/>
        <v>45290</v>
      </c>
      <c r="C234">
        <f ca="1"/>
        <v>0.94144380075982581</v>
      </c>
      <c r="E234" t="str">
        <f ca="1"/>
        <v>6x9</v>
      </c>
      <c r="F234" t="str">
        <f ca="1"/>
        <v>JIBAR</v>
      </c>
      <c r="G234">
        <f ca="1"/>
        <v>8.2200000000000009E-2</v>
      </c>
      <c r="H234" t="str">
        <f ca="1"/>
        <v>TRUE</v>
      </c>
    </row>
    <row r="235" spans="2:8">
      <c r="B235" s="8">
        <f t="shared" si="7"/>
        <v>45321</v>
      </c>
      <c r="C235">
        <f ca="1"/>
        <v>0.93507226945889121</v>
      </c>
      <c r="E235" t="str">
        <f ca="1"/>
        <v>9x12</v>
      </c>
      <c r="F235" t="str">
        <f ca="1"/>
        <v>JIBAR</v>
      </c>
      <c r="G235">
        <f ca="1"/>
        <v>8.0749999999999988E-2</v>
      </c>
      <c r="H235" t="str">
        <f ca="1"/>
        <v>TRUE</v>
      </c>
    </row>
    <row r="236" spans="2:8">
      <c r="B236" s="8">
        <f t="shared" si="7"/>
        <v>45351</v>
      </c>
      <c r="C236">
        <f ca="1"/>
        <v>0.92894733177196143</v>
      </c>
      <c r="E236" t="str">
        <f ca="1"/>
        <v>12x15</v>
      </c>
      <c r="F236" t="str">
        <f ca="1"/>
        <v>JIBAR</v>
      </c>
      <c r="G236">
        <f ca="1"/>
        <v>7.8100000000000003E-2</v>
      </c>
      <c r="H236" t="str">
        <f ca="1"/>
        <v>TRUE</v>
      </c>
    </row>
    <row r="237" spans="2:8">
      <c r="B237" s="8">
        <f t="shared" si="7"/>
        <v>45380</v>
      </c>
      <c r="C237">
        <f ca="1"/>
        <v>0.92307131168996104</v>
      </c>
      <c r="E237" t="str">
        <f ca="1"/>
        <v>15x18</v>
      </c>
      <c r="F237" t="str">
        <f ca="1"/>
        <v>JIBAR</v>
      </c>
      <c r="G237">
        <f ca="1"/>
        <v>7.6649999999999996E-2</v>
      </c>
      <c r="H237" t="str">
        <f ca="1"/>
        <v>TRUE</v>
      </c>
    </row>
    <row r="238" spans="2:8">
      <c r="B238" s="8">
        <f t="shared" si="7"/>
        <v>45411</v>
      </c>
      <c r="C238">
        <f ca="1"/>
        <v>0.91702779776708532</v>
      </c>
      <c r="E238" t="str">
        <f ca="1"/>
        <v>18x21</v>
      </c>
      <c r="F238" t="str">
        <f ca="1"/>
        <v>JIBAR</v>
      </c>
      <c r="G238">
        <f ca="1"/>
        <v>7.5649999999999995E-2</v>
      </c>
      <c r="H238" t="str">
        <f ca="1"/>
        <v>TRUE</v>
      </c>
    </row>
    <row r="239" spans="2:8">
      <c r="B239" s="8">
        <f t="shared" si="7"/>
        <v>45441</v>
      </c>
      <c r="C239">
        <f ca="1"/>
        <v>0.91121691254329862</v>
      </c>
      <c r="E239" t="str">
        <f ca="1"/>
        <v>21x24</v>
      </c>
      <c r="F239" t="str">
        <f ca="1"/>
        <v>JIBAR</v>
      </c>
      <c r="G239">
        <f ca="1"/>
        <v>7.5199999999999989E-2</v>
      </c>
      <c r="H239" t="str">
        <f ca="1"/>
        <v>TRUE</v>
      </c>
    </row>
    <row r="240" spans="2:8">
      <c r="B240" s="8">
        <f t="shared" si="7"/>
        <v>45472</v>
      </c>
      <c r="C240">
        <f ca="1"/>
        <v>0.90525457782401397</v>
      </c>
      <c r="E240" t="str">
        <f ca="1"/>
        <v/>
      </c>
      <c r="F240" t="str">
        <f ca="1"/>
        <v/>
      </c>
      <c r="G240" t="str">
        <f ca="1"/>
        <v/>
      </c>
      <c r="H240" t="str">
        <f ca="1"/>
        <v/>
      </c>
    </row>
    <row r="241" spans="2:8">
      <c r="B241" s="8">
        <f t="shared" si="7"/>
        <v>45502</v>
      </c>
      <c r="C241">
        <f ca="1"/>
        <v>0.89962461352288714</v>
      </c>
      <c r="E241" t="str">
        <f ca="1"/>
        <v>Interest Rate Swaps</v>
      </c>
      <c r="F241" t="str">
        <f ca="1"/>
        <v/>
      </c>
      <c r="G241" t="str">
        <f ca="1"/>
        <v/>
      </c>
      <c r="H241" t="str">
        <f ca="1"/>
        <v/>
      </c>
    </row>
    <row r="242" spans="2:8">
      <c r="E242" t="str">
        <f ca="1"/>
        <v>Tenors</v>
      </c>
      <c r="F242" t="str">
        <f ca="1"/>
        <v>RateIndex</v>
      </c>
      <c r="G242" t="str">
        <f ca="1"/>
        <v>Rates</v>
      </c>
      <c r="H242" t="str">
        <f ca="1"/>
        <v>Include</v>
      </c>
    </row>
    <row r="243" spans="2:8">
      <c r="E243" t="str">
        <f ca="1"/>
        <v>3Y</v>
      </c>
      <c r="F243" t="str">
        <f ca="1"/>
        <v>JIBAR</v>
      </c>
      <c r="G243">
        <f ca="1"/>
        <v>7.85E-2</v>
      </c>
      <c r="H243" t="str">
        <f ca="1"/>
        <v>TRUE</v>
      </c>
    </row>
    <row r="244" spans="2:8">
      <c r="E244" t="str">
        <f ca="1"/>
        <v>4Y</v>
      </c>
      <c r="F244" t="str">
        <f ca="1"/>
        <v>JIBAR</v>
      </c>
      <c r="G244">
        <f ca="1"/>
        <v>7.9500000000000001E-2</v>
      </c>
      <c r="H244" t="str">
        <f ca="1"/>
        <v>TRUE</v>
      </c>
    </row>
    <row r="245" spans="2:8">
      <c r="E245" t="str">
        <f ca="1"/>
        <v>5Y</v>
      </c>
      <c r="F245" t="str">
        <f ca="1"/>
        <v>JIBAR</v>
      </c>
      <c r="G245">
        <f ca="1"/>
        <v>8.1199999999999994E-2</v>
      </c>
      <c r="H245" t="str">
        <f ca="1"/>
        <v>TRUE</v>
      </c>
    </row>
    <row r="246" spans="2:8">
      <c r="E246" t="str">
        <f ca="1"/>
        <v>6Y</v>
      </c>
      <c r="F246" t="str">
        <f ca="1"/>
        <v>JIBAR</v>
      </c>
      <c r="G246">
        <f ca="1"/>
        <v>8.3499999999999991E-2</v>
      </c>
      <c r="H246" t="str">
        <f ca="1"/>
        <v>TRUE</v>
      </c>
    </row>
    <row r="247" spans="2:8">
      <c r="E247" t="str">
        <f ca="1"/>
        <v>7Y</v>
      </c>
      <c r="F247" t="str">
        <f ca="1"/>
        <v>JIBAR</v>
      </c>
      <c r="G247">
        <f ca="1"/>
        <v>8.585000000000001E-2</v>
      </c>
      <c r="H247" t="str">
        <f ca="1"/>
        <v>TRUE</v>
      </c>
    </row>
    <row r="248" spans="2:8">
      <c r="E248" t="str">
        <f ca="1"/>
        <v>8Y</v>
      </c>
      <c r="F248" t="str">
        <f ca="1"/>
        <v>JIBAR</v>
      </c>
      <c r="G248">
        <f ca="1"/>
        <v>8.7899999999999992E-2</v>
      </c>
      <c r="H248" t="str">
        <f ca="1"/>
        <v>TRUE</v>
      </c>
    </row>
    <row r="249" spans="2:8">
      <c r="E249" t="str">
        <f ca="1"/>
        <v>9Y</v>
      </c>
      <c r="F249" t="str">
        <f ca="1"/>
        <v>JIBAR</v>
      </c>
      <c r="G249">
        <f ca="1"/>
        <v>8.9499999999999996E-2</v>
      </c>
      <c r="H249" t="str">
        <f ca="1"/>
        <v>TRUE</v>
      </c>
    </row>
    <row r="250" spans="2:8">
      <c r="E250" t="str">
        <f ca="1"/>
        <v>10Y</v>
      </c>
      <c r="F250" t="str">
        <f ca="1"/>
        <v>JIBAR</v>
      </c>
      <c r="G250">
        <f ca="1"/>
        <v>9.06E-2</v>
      </c>
      <c r="H250" t="str">
        <f ca="1"/>
        <v>TRUE</v>
      </c>
    </row>
    <row r="251" spans="2:8">
      <c r="E251" t="str">
        <f ca="1"/>
        <v>12Y</v>
      </c>
      <c r="F251" t="str">
        <f ca="1"/>
        <v>JIBAR</v>
      </c>
      <c r="G251">
        <f ca="1"/>
        <v>9.2600000000000002E-2</v>
      </c>
      <c r="H251" t="str">
        <f ca="1"/>
        <v>TRUE</v>
      </c>
    </row>
    <row r="252" spans="2:8">
      <c r="E252" t="str">
        <f ca="1"/>
        <v>15Y</v>
      </c>
      <c r="F252" t="str">
        <f ca="1"/>
        <v>JIBAR</v>
      </c>
      <c r="G252">
        <f ca="1"/>
        <v>9.3900000000000011E-2</v>
      </c>
      <c r="H252" t="str">
        <f ca="1"/>
        <v>TRUE</v>
      </c>
    </row>
    <row r="253" spans="2:8">
      <c r="E253" t="str">
        <f ca="1"/>
        <v>20Y</v>
      </c>
      <c r="F253" t="str">
        <f ca="1"/>
        <v>JIBAR</v>
      </c>
      <c r="G253">
        <f ca="1"/>
        <v>9.35E-2</v>
      </c>
      <c r="H253" t="str">
        <f ca="1"/>
        <v>TRUE</v>
      </c>
    </row>
    <row r="254" spans="2:8">
      <c r="E254" t="str">
        <f ca="1"/>
        <v>25Y</v>
      </c>
      <c r="F254" t="str">
        <f ca="1"/>
        <v>JIBAR</v>
      </c>
      <c r="G254">
        <f ca="1"/>
        <v>9.2100000000000015E-2</v>
      </c>
      <c r="H254" t="str">
        <f ca="1"/>
        <v>TRUE</v>
      </c>
    </row>
    <row r="255" spans="2:8">
      <c r="E255" t="str">
        <f ca="1"/>
        <v>30Y</v>
      </c>
      <c r="F255" t="str">
        <f ca="1"/>
        <v>JIBAR</v>
      </c>
      <c r="G255">
        <f ca="1"/>
        <v>8.9700000000000002E-2</v>
      </c>
      <c r="H255" t="str">
        <f ca="1"/>
        <v>TRUE</v>
      </c>
    </row>
    <row r="257" spans="2:10">
      <c r="B257" s="1">
        <v>45015</v>
      </c>
    </row>
    <row r="259" spans="2:10">
      <c r="B259" t="str" cm="1">
        <f t="array" aca="1" ref="B259" ca="1">_xll.d.Curve_Get("MyOIS","USD-OIS",B257)</f>
        <v>@@MyOIS::10:21:29</v>
      </c>
    </row>
    <row r="261" spans="2:10">
      <c r="B261" s="8">
        <v>45016</v>
      </c>
      <c r="C261" cm="1">
        <f t="array" aca="1" ref="C261:C277" ca="1">_xll.d.Curve_GetDiscountFactors(B259,B261:B277)</f>
        <v>0.9998658513316131</v>
      </c>
      <c r="G261" t="str" cm="1">
        <f t="array" aca="1" ref="G261:J286" ca="1">_xll.d.Curve_GetInstruments(B259)</f>
        <v>Deposits</v>
      </c>
      <c r="H261" t="str">
        <f ca="1"/>
        <v/>
      </c>
      <c r="I261" t="str">
        <f ca="1"/>
        <v/>
      </c>
      <c r="J261" t="str">
        <f ca="1"/>
        <v/>
      </c>
    </row>
    <row r="262" spans="2:10">
      <c r="B262" s="8">
        <v>45046</v>
      </c>
      <c r="C262">
        <f ca="1"/>
        <v>0.99586661697560863</v>
      </c>
      <c r="G262" t="str">
        <f ca="1"/>
        <v>Tenors</v>
      </c>
      <c r="H262" t="str">
        <f ca="1"/>
        <v>RateIndex</v>
      </c>
      <c r="I262" t="str">
        <f ca="1"/>
        <v>Rates</v>
      </c>
      <c r="J262" t="str">
        <f ca="1"/>
        <v>Include</v>
      </c>
    </row>
    <row r="263" spans="2:10">
      <c r="B263" s="8">
        <v>45076</v>
      </c>
      <c r="C263">
        <f ca="1"/>
        <v>0.99177994466260955</v>
      </c>
      <c r="G263" t="str">
        <f ca="1"/>
        <v>1D</v>
      </c>
      <c r="H263" t="str">
        <f ca="1"/>
        <v>FEDFUND</v>
      </c>
      <c r="I263">
        <f ca="1"/>
        <v>4.8300000000000003E-2</v>
      </c>
      <c r="J263" t="str">
        <f ca="1"/>
        <v>TRUE</v>
      </c>
    </row>
    <row r="264" spans="2:10">
      <c r="B264" s="8">
        <v>45107</v>
      </c>
      <c r="C264">
        <f ca="1"/>
        <v>0.98757618558830118</v>
      </c>
      <c r="G264" t="str">
        <f ca="1"/>
        <v/>
      </c>
      <c r="H264" t="str">
        <f ca="1"/>
        <v/>
      </c>
      <c r="I264" t="str">
        <f ca="1"/>
        <v/>
      </c>
      <c r="J264" t="str">
        <f ca="1"/>
        <v/>
      </c>
    </row>
    <row r="265" spans="2:10">
      <c r="B265" s="8">
        <v>45137</v>
      </c>
      <c r="C265">
        <f ca="1"/>
        <v>0.98356173708800809</v>
      </c>
      <c r="G265" t="str">
        <f ca="1"/>
        <v>OISs</v>
      </c>
      <c r="H265" t="str">
        <f ca="1"/>
        <v/>
      </c>
      <c r="I265" t="str">
        <f ca="1"/>
        <v/>
      </c>
      <c r="J265" t="str">
        <f ca="1"/>
        <v/>
      </c>
    </row>
    <row r="266" spans="2:10">
      <c r="B266" s="8">
        <v>45168</v>
      </c>
      <c r="C266">
        <f ca="1"/>
        <v>0.9794985351921689</v>
      </c>
      <c r="G266" t="str">
        <f ca="1"/>
        <v>Tenors</v>
      </c>
      <c r="H266" t="str">
        <f ca="1"/>
        <v>Rates</v>
      </c>
      <c r="I266" t="str">
        <f ca="1"/>
        <v>Include</v>
      </c>
      <c r="J266" t="str">
        <f ca="1"/>
        <v/>
      </c>
    </row>
    <row r="267" spans="2:10">
      <c r="B267" s="8">
        <v>45199</v>
      </c>
      <c r="C267">
        <f ca="1"/>
        <v>0.97551810508562264</v>
      </c>
      <c r="G267" t="str">
        <f ca="1"/>
        <v>1M</v>
      </c>
      <c r="H267">
        <f ca="1"/>
        <v>4.8189999999999997E-2</v>
      </c>
      <c r="I267" t="str">
        <f ca="1"/>
        <v>TRUE</v>
      </c>
      <c r="J267" t="str">
        <f ca="1"/>
        <v/>
      </c>
    </row>
    <row r="268" spans="2:10">
      <c r="B268" s="8">
        <v>45229</v>
      </c>
      <c r="C268">
        <f ca="1"/>
        <v>0.9718364566698523</v>
      </c>
      <c r="G268" t="str">
        <f ca="1"/>
        <v>2M</v>
      </c>
      <c r="H268">
        <f ca="1"/>
        <v>4.9031000000000005E-2</v>
      </c>
      <c r="I268" t="str">
        <f ca="1"/>
        <v>TRUE</v>
      </c>
      <c r="J268" t="str">
        <f ca="1"/>
        <v/>
      </c>
    </row>
    <row r="269" spans="2:10">
      <c r="B269" s="8">
        <v>45260</v>
      </c>
      <c r="C269">
        <f ca="1"/>
        <v>0.96806291316984872</v>
      </c>
      <c r="G269" t="str">
        <f ca="1"/>
        <v>3M</v>
      </c>
      <c r="H269">
        <f ca="1"/>
        <v>4.9269999999999994E-2</v>
      </c>
      <c r="I269" t="str">
        <f ca="1"/>
        <v>TRUE</v>
      </c>
      <c r="J269" t="str">
        <f ca="1"/>
        <v/>
      </c>
    </row>
    <row r="270" spans="2:10">
      <c r="B270" s="8">
        <v>45290</v>
      </c>
      <c r="C270">
        <f ca="1"/>
        <v>0.96442504839519849</v>
      </c>
      <c r="G270" t="str">
        <f ca="1"/>
        <v>4M</v>
      </c>
      <c r="H270">
        <f ca="1"/>
        <v>4.9340000000000002E-2</v>
      </c>
      <c r="I270" t="str">
        <f ca="1"/>
        <v>TRUE</v>
      </c>
      <c r="J270" t="str">
        <f ca="1"/>
        <v/>
      </c>
    </row>
    <row r="271" spans="2:10">
      <c r="B271" s="8">
        <v>45321</v>
      </c>
      <c r="C271">
        <f ca="1"/>
        <v>0.96088064660114569</v>
      </c>
      <c r="G271" t="str">
        <f ca="1"/>
        <v>5M</v>
      </c>
      <c r="H271">
        <f ca="1"/>
        <v>4.9240000000000006E-2</v>
      </c>
      <c r="I271" t="str">
        <f ca="1"/>
        <v>TRUE</v>
      </c>
      <c r="J271" t="str">
        <f ca="1"/>
        <v/>
      </c>
    </row>
    <row r="272" spans="2:10">
      <c r="B272" s="8">
        <v>45351</v>
      </c>
      <c r="C272">
        <f ca="1"/>
        <v>0.95749161076187905</v>
      </c>
      <c r="G272" t="str">
        <f ca="1"/>
        <v>6M</v>
      </c>
      <c r="H272">
        <f ca="1"/>
        <v>4.9082999999999995E-2</v>
      </c>
      <c r="I272" t="str">
        <f ca="1"/>
        <v>TRUE</v>
      </c>
      <c r="J272" t="str">
        <f ca="1"/>
        <v/>
      </c>
    </row>
    <row r="273" spans="2:10">
      <c r="B273" s="8">
        <v>45380</v>
      </c>
      <c r="C273">
        <f ca="1"/>
        <v>0.95422690537601229</v>
      </c>
      <c r="G273" t="str">
        <f ca="1"/>
        <v>9M</v>
      </c>
      <c r="H273">
        <f ca="1"/>
        <v>4.8243999999999995E-2</v>
      </c>
      <c r="I273" t="str">
        <f ca="1"/>
        <v>TRUE</v>
      </c>
      <c r="J273" t="str">
        <f ca="1"/>
        <v/>
      </c>
    </row>
    <row r="274" spans="2:10">
      <c r="B274" s="8">
        <v>45411</v>
      </c>
      <c r="C274">
        <f ca="1"/>
        <v>0.95118137594067631</v>
      </c>
      <c r="G274" t="str">
        <f ca="1"/>
        <v>1Y</v>
      </c>
      <c r="H274">
        <f ca="1"/>
        <v>4.7237999999999995E-2</v>
      </c>
      <c r="I274" t="str">
        <f ca="1"/>
        <v>TRUE</v>
      </c>
      <c r="J274" t="str">
        <f ca="1"/>
        <v/>
      </c>
    </row>
    <row r="275" spans="2:10">
      <c r="B275" s="8">
        <v>45441</v>
      </c>
      <c r="C275">
        <f ca="1"/>
        <v>0.94832351851597319</v>
      </c>
      <c r="G275" t="str">
        <f ca="1"/>
        <v>18M</v>
      </c>
      <c r="H275">
        <f ca="1"/>
        <v>4.3619999999999999E-2</v>
      </c>
      <c r="I275" t="str">
        <f ca="1"/>
        <v>TRUE</v>
      </c>
      <c r="J275" t="str">
        <f ca="1"/>
        <v/>
      </c>
    </row>
    <row r="276" spans="2:10">
      <c r="B276" s="8">
        <v>45472</v>
      </c>
      <c r="C276">
        <f ca="1"/>
        <v>0.94537941950435789</v>
      </c>
      <c r="G276" t="str">
        <f ca="1"/>
        <v>2Y</v>
      </c>
      <c r="H276">
        <f ca="1"/>
        <v>4.1289999999999993E-2</v>
      </c>
      <c r="I276" t="str">
        <f ca="1"/>
        <v>TRUE</v>
      </c>
      <c r="J276" t="str">
        <f ca="1"/>
        <v/>
      </c>
    </row>
    <row r="277" spans="2:10">
      <c r="B277" s="8">
        <v>45502</v>
      </c>
      <c r="C277">
        <f ca="1"/>
        <v>0.94253899425894117</v>
      </c>
      <c r="G277" t="str">
        <f ca="1"/>
        <v>3Y</v>
      </c>
      <c r="H277">
        <f ca="1"/>
        <v>3.7400000000000003E-2</v>
      </c>
      <c r="I277" t="str">
        <f ca="1"/>
        <v>TRUE</v>
      </c>
      <c r="J277" t="str">
        <f ca="1"/>
        <v/>
      </c>
    </row>
    <row r="278" spans="2:10">
      <c r="G278" t="str">
        <f ca="1"/>
        <v>4Y</v>
      </c>
      <c r="H278">
        <f ca="1"/>
        <v>3.5499999999999997E-2</v>
      </c>
      <c r="I278" t="str">
        <f ca="1"/>
        <v>TRUE</v>
      </c>
      <c r="J278" t="str">
        <f ca="1"/>
        <v/>
      </c>
    </row>
    <row r="279" spans="2:10">
      <c r="G279" t="str">
        <f ca="1"/>
        <v>5Y</v>
      </c>
      <c r="H279">
        <f ca="1"/>
        <v>3.424E-2</v>
      </c>
      <c r="I279" t="str">
        <f ca="1"/>
        <v>TRUE</v>
      </c>
      <c r="J279" t="str">
        <f ca="1"/>
        <v/>
      </c>
    </row>
    <row r="280" spans="2:10">
      <c r="G280" t="str">
        <f ca="1"/>
        <v>7Y</v>
      </c>
      <c r="H280">
        <f ca="1"/>
        <v>3.2939999999999997E-2</v>
      </c>
      <c r="I280" t="str">
        <f ca="1"/>
        <v>TRUE</v>
      </c>
      <c r="J280" t="str">
        <f ca="1"/>
        <v/>
      </c>
    </row>
    <row r="281" spans="2:10">
      <c r="G281" t="str">
        <f ca="1"/>
        <v>10Y</v>
      </c>
      <c r="H281">
        <f ca="1"/>
        <v>3.2349999999999997E-2</v>
      </c>
      <c r="I281" t="str">
        <f ca="1"/>
        <v>TRUE</v>
      </c>
      <c r="J281" t="str">
        <f ca="1"/>
        <v/>
      </c>
    </row>
    <row r="282" spans="2:10">
      <c r="G282" t="str">
        <f ca="1"/>
        <v>12Y</v>
      </c>
      <c r="H282">
        <f ca="1"/>
        <v>3.2419999999999997E-2</v>
      </c>
      <c r="I282" t="str">
        <f ca="1"/>
        <v>TRUE</v>
      </c>
      <c r="J282" t="str">
        <f ca="1"/>
        <v/>
      </c>
    </row>
    <row r="283" spans="2:10">
      <c r="G283" t="str">
        <f ca="1"/>
        <v>15Y</v>
      </c>
      <c r="H283">
        <f ca="1"/>
        <v>3.2349999999999997E-2</v>
      </c>
      <c r="I283" t="str">
        <f ca="1"/>
        <v>TRUE</v>
      </c>
      <c r="J283" t="str">
        <f ca="1"/>
        <v/>
      </c>
    </row>
    <row r="284" spans="2:10">
      <c r="G284" t="str">
        <f ca="1"/>
        <v>20Y</v>
      </c>
      <c r="H284">
        <f ca="1"/>
        <v>3.1820000000000001E-2</v>
      </c>
      <c r="I284" t="str">
        <f ca="1"/>
        <v>TRUE</v>
      </c>
      <c r="J284" t="str">
        <f ca="1"/>
        <v/>
      </c>
    </row>
    <row r="285" spans="2:10">
      <c r="G285" t="str">
        <f ca="1"/>
        <v>25Y</v>
      </c>
      <c r="H285">
        <f ca="1"/>
        <v>3.0800000000000001E-2</v>
      </c>
      <c r="I285" t="str">
        <f ca="1"/>
        <v>TRUE</v>
      </c>
      <c r="J285" t="str">
        <f ca="1"/>
        <v/>
      </c>
    </row>
    <row r="286" spans="2:10">
      <c r="G286" t="str">
        <f ca="1"/>
        <v>30Y</v>
      </c>
      <c r="H286">
        <f ca="1"/>
        <v>2.9699999999999997E-2</v>
      </c>
      <c r="I286" t="str">
        <f ca="1"/>
        <v>TRUE</v>
      </c>
      <c r="J286" t="str">
        <f ca="1"/>
        <v/>
      </c>
    </row>
  </sheetData>
  <conditionalFormatting sqref="J26:J31 H12 AK26:AK32 CX33 U79:U80 U28:V38 W27:X27 V26:V83 W28:Z72 V23:Z23 V25:Z25 V24 X24:Z24 BQ26:BQ36 D17 H16">
    <cfRule type="cellIs" dxfId="440" priority="136" stopIfTrue="1" operator="equal">
      <formula>"ERROR"</formula>
    </cfRule>
    <cfRule type="cellIs" dxfId="439" priority="137" stopIfTrue="1" operator="equal">
      <formula>"OK"</formula>
    </cfRule>
    <cfRule type="cellIs" dxfId="438" priority="138" stopIfTrue="1" operator="equal">
      <formula>"WARNING"</formula>
    </cfRule>
  </conditionalFormatting>
  <conditionalFormatting sqref="C6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2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AD24">
    <cfRule type="cellIs" dxfId="431" priority="127" stopIfTrue="1" operator="equal">
      <formula>"ERROR"</formula>
    </cfRule>
    <cfRule type="cellIs" dxfId="430" priority="128" stopIfTrue="1" operator="equal">
      <formula>"OK"</formula>
    </cfRule>
    <cfRule type="cellIs" dxfId="429" priority="129" stopIfTrue="1" operator="equal">
      <formula>"WARNING"</formula>
    </cfRule>
  </conditionalFormatting>
  <conditionalFormatting sqref="J52:J53">
    <cfRule type="cellIs" dxfId="428" priority="142" stopIfTrue="1" operator="equal">
      <formula>"ERROR"</formula>
    </cfRule>
    <cfRule type="cellIs" dxfId="427" priority="143" stopIfTrue="1" operator="equal">
      <formula>"OK"</formula>
    </cfRule>
    <cfRule type="cellIs" dxfId="426" priority="144" stopIfTrue="1" operator="equal">
      <formula>"WARNING"</formula>
    </cfRule>
  </conditionalFormatting>
  <conditionalFormatting sqref="N24">
    <cfRule type="cellIs" dxfId="425" priority="118" stopIfTrue="1" operator="equal">
      <formula>"ERROR"</formula>
    </cfRule>
    <cfRule type="cellIs" dxfId="424" priority="119" stopIfTrue="1" operator="equal">
      <formula>"OK"</formula>
    </cfRule>
    <cfRule type="cellIs" dxfId="423" priority="120" stopIfTrue="1" operator="equal">
      <formula>"WARNING"</formula>
    </cfRule>
  </conditionalFormatting>
  <conditionalFormatting sqref="H13">
    <cfRule type="cellIs" dxfId="422" priority="145" stopIfTrue="1" operator="equal">
      <formula>"ERROR"</formula>
    </cfRule>
    <cfRule type="cellIs" dxfId="421" priority="146" stopIfTrue="1" operator="equal">
      <formula>"OK"</formula>
    </cfRule>
    <cfRule type="cellIs" dxfId="420" priority="147" stopIfTrue="1" operator="equal">
      <formula>"WARNING"</formula>
    </cfRule>
  </conditionalFormatting>
  <conditionalFormatting sqref="U81:U82">
    <cfRule type="cellIs" dxfId="419" priority="115" stopIfTrue="1" operator="equal">
      <formula>"ERROR"</formula>
    </cfRule>
    <cfRule type="cellIs" dxfId="418" priority="116" stopIfTrue="1" operator="equal">
      <formula>"OK"</formula>
    </cfRule>
    <cfRule type="cellIs" dxfId="417" priority="117" stopIfTrue="1" operator="equal">
      <formula>"WARNING"</formula>
    </cfRule>
  </conditionalFormatting>
  <conditionalFormatting sqref="U83:U84">
    <cfRule type="cellIs" dxfId="416" priority="112" stopIfTrue="1" operator="equal">
      <formula>"ERROR"</formula>
    </cfRule>
    <cfRule type="cellIs" dxfId="415" priority="113" stopIfTrue="1" operator="equal">
      <formula>"OK"</formula>
    </cfRule>
    <cfRule type="cellIs" dxfId="414" priority="114" stopIfTrue="1" operator="equal">
      <formula>"WARNING"</formula>
    </cfRule>
  </conditionalFormatting>
  <conditionalFormatting sqref="U82">
    <cfRule type="cellIs" dxfId="413" priority="109" stopIfTrue="1" operator="equal">
      <formula>"ERROR"</formula>
    </cfRule>
    <cfRule type="cellIs" dxfId="412" priority="110" stopIfTrue="1" operator="equal">
      <formula>"OK"</formula>
    </cfRule>
    <cfRule type="cellIs" dxfId="411" priority="111" stopIfTrue="1" operator="equal">
      <formula>"WARNING"</formula>
    </cfRule>
  </conditionalFormatting>
  <conditionalFormatting sqref="U83:U84">
    <cfRule type="cellIs" dxfId="410" priority="106" stopIfTrue="1" operator="equal">
      <formula>"ERROR"</formula>
    </cfRule>
    <cfRule type="cellIs" dxfId="409" priority="107" stopIfTrue="1" operator="equal">
      <formula>"OK"</formula>
    </cfRule>
    <cfRule type="cellIs" dxfId="408" priority="108" stopIfTrue="1" operator="equal">
      <formula>"WARNING"</formula>
    </cfRule>
  </conditionalFormatting>
  <conditionalFormatting sqref="AK51:AK52">
    <cfRule type="cellIs" dxfId="407" priority="103" stopIfTrue="1" operator="equal">
      <formula>"ERROR"</formula>
    </cfRule>
    <cfRule type="cellIs" dxfId="406" priority="104" stopIfTrue="1" operator="equal">
      <formula>"OK"</formula>
    </cfRule>
    <cfRule type="cellIs" dxfId="405" priority="105" stopIfTrue="1" operator="equal">
      <formula>"WARNING"</formula>
    </cfRule>
  </conditionalFormatting>
  <conditionalFormatting sqref="AK53:AK54">
    <cfRule type="cellIs" dxfId="404" priority="100" stopIfTrue="1" operator="equal">
      <formula>"ERROR"</formula>
    </cfRule>
    <cfRule type="cellIs" dxfId="403" priority="101" stopIfTrue="1" operator="equal">
      <formula>"OK"</formula>
    </cfRule>
    <cfRule type="cellIs" dxfId="402" priority="102" stopIfTrue="1" operator="equal">
      <formula>"WARNING"</formula>
    </cfRule>
  </conditionalFormatting>
  <conditionalFormatting sqref="AK55:AK56">
    <cfRule type="cellIs" dxfId="401" priority="97" stopIfTrue="1" operator="equal">
      <formula>"ERROR"</formula>
    </cfRule>
    <cfRule type="cellIs" dxfId="400" priority="98" stopIfTrue="1" operator="equal">
      <formula>"OK"</formula>
    </cfRule>
    <cfRule type="cellIs" dxfId="399" priority="99" stopIfTrue="1" operator="equal">
      <formula>"WARNING"</formula>
    </cfRule>
  </conditionalFormatting>
  <conditionalFormatting sqref="AK54">
    <cfRule type="cellIs" dxfId="398" priority="94" stopIfTrue="1" operator="equal">
      <formula>"ERROR"</formula>
    </cfRule>
    <cfRule type="cellIs" dxfId="397" priority="95" stopIfTrue="1" operator="equal">
      <formula>"OK"</formula>
    </cfRule>
    <cfRule type="cellIs" dxfId="396" priority="96" stopIfTrue="1" operator="equal">
      <formula>"WARNING"</formula>
    </cfRule>
  </conditionalFormatting>
  <conditionalFormatting sqref="AK55:AK56">
    <cfRule type="cellIs" dxfId="395" priority="91" stopIfTrue="1" operator="equal">
      <formula>"ERROR"</formula>
    </cfRule>
    <cfRule type="cellIs" dxfId="394" priority="92" stopIfTrue="1" operator="equal">
      <formula>"OK"</formula>
    </cfRule>
    <cfRule type="cellIs" dxfId="393" priority="93" stopIfTrue="1" operator="equal">
      <formula>"WARNING"</formula>
    </cfRule>
  </conditionalFormatting>
  <conditionalFormatting sqref="AM25:AN25 AM26:AM41 AO26:AP41 AP42:AP47">
    <cfRule type="cellIs" dxfId="392" priority="88" stopIfTrue="1" operator="equal">
      <formula>"ERROR"</formula>
    </cfRule>
    <cfRule type="cellIs" dxfId="391" priority="89" stopIfTrue="1" operator="equal">
      <formula>"OK"</formula>
    </cfRule>
    <cfRule type="cellIs" dxfId="390" priority="90" stopIfTrue="1" operator="equal">
      <formula>"WARNING"</formula>
    </cfRule>
  </conditionalFormatting>
  <conditionalFormatting sqref="AN26:AN41">
    <cfRule type="cellIs" dxfId="389" priority="85" stopIfTrue="1" operator="equal">
      <formula>"ERROR"</formula>
    </cfRule>
    <cfRule type="cellIs" dxfId="388" priority="86" stopIfTrue="1" operator="equal">
      <formula>"OK"</formula>
    </cfRule>
    <cfRule type="cellIs" dxfId="387" priority="87" stopIfTrue="1" operator="equal">
      <formula>"WARNING"</formula>
    </cfRule>
  </conditionalFormatting>
  <conditionalFormatting sqref="AM46:AM47 AO46:AO47">
    <cfRule type="cellIs" dxfId="386" priority="82" stopIfTrue="1" operator="equal">
      <formula>"ERROR"</formula>
    </cfRule>
    <cfRule type="cellIs" dxfId="385" priority="83" stopIfTrue="1" operator="equal">
      <formula>"OK"</formula>
    </cfRule>
    <cfRule type="cellIs" dxfId="384" priority="84" stopIfTrue="1" operator="equal">
      <formula>"WARNING"</formula>
    </cfRule>
  </conditionalFormatting>
  <conditionalFormatting sqref="AN46:AN47">
    <cfRule type="cellIs" dxfId="383" priority="79" stopIfTrue="1" operator="equal">
      <formula>"ERROR"</formula>
    </cfRule>
    <cfRule type="cellIs" dxfId="382" priority="80" stopIfTrue="1" operator="equal">
      <formula>"OK"</formula>
    </cfRule>
    <cfRule type="cellIs" dxfId="381" priority="81" stopIfTrue="1" operator="equal">
      <formula>"WARNING"</formula>
    </cfRule>
  </conditionalFormatting>
  <conditionalFormatting sqref="AM42:AM45 AO42:AO45">
    <cfRule type="cellIs" dxfId="380" priority="76" stopIfTrue="1" operator="equal">
      <formula>"ERROR"</formula>
    </cfRule>
    <cfRule type="cellIs" dxfId="379" priority="77" stopIfTrue="1" operator="equal">
      <formula>"OK"</formula>
    </cfRule>
    <cfRule type="cellIs" dxfId="378" priority="78" stopIfTrue="1" operator="equal">
      <formula>"WARNING"</formula>
    </cfRule>
  </conditionalFormatting>
  <conditionalFormatting sqref="AN42:AN45">
    <cfRule type="cellIs" dxfId="377" priority="73" stopIfTrue="1" operator="equal">
      <formula>"ERROR"</formula>
    </cfRule>
    <cfRule type="cellIs" dxfId="376" priority="74" stopIfTrue="1" operator="equal">
      <formula>"OK"</formula>
    </cfRule>
    <cfRule type="cellIs" dxfId="375" priority="75" stopIfTrue="1" operator="equal">
      <formula>"WARNING"</formula>
    </cfRule>
  </conditionalFormatting>
  <conditionalFormatting sqref="BA26:BA32">
    <cfRule type="cellIs" dxfId="374" priority="70" stopIfTrue="1" operator="equal">
      <formula>"ERROR"</formula>
    </cfRule>
    <cfRule type="cellIs" dxfId="373" priority="71" stopIfTrue="1" operator="equal">
      <formula>"OK"</formula>
    </cfRule>
    <cfRule type="cellIs" dxfId="372" priority="72" stopIfTrue="1" operator="equal">
      <formula>"WARNING"</formula>
    </cfRule>
  </conditionalFormatting>
  <conditionalFormatting sqref="AT24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BA51:BA52">
    <cfRule type="cellIs" dxfId="368" priority="64" stopIfTrue="1" operator="equal">
      <formula>"ERROR"</formula>
    </cfRule>
    <cfRule type="cellIs" dxfId="367" priority="65" stopIfTrue="1" operator="equal">
      <formula>"OK"</formula>
    </cfRule>
    <cfRule type="cellIs" dxfId="366" priority="66" stopIfTrue="1" operator="equal">
      <formula>"WARNING"</formula>
    </cfRule>
  </conditionalFormatting>
  <conditionalFormatting sqref="BA53:BA54">
    <cfRule type="cellIs" dxfId="365" priority="61" stopIfTrue="1" operator="equal">
      <formula>"ERROR"</formula>
    </cfRule>
    <cfRule type="cellIs" dxfId="364" priority="62" stopIfTrue="1" operator="equal">
      <formula>"OK"</formula>
    </cfRule>
    <cfRule type="cellIs" dxfId="363" priority="63" stopIfTrue="1" operator="equal">
      <formula>"WARNING"</formula>
    </cfRule>
  </conditionalFormatting>
  <conditionalFormatting sqref="BA55:BA56">
    <cfRule type="cellIs" dxfId="362" priority="58" stopIfTrue="1" operator="equal">
      <formula>"ERROR"</formula>
    </cfRule>
    <cfRule type="cellIs" dxfId="361" priority="59" stopIfTrue="1" operator="equal">
      <formula>"OK"</formula>
    </cfRule>
    <cfRule type="cellIs" dxfId="360" priority="60" stopIfTrue="1" operator="equal">
      <formula>"WARNING"</formula>
    </cfRule>
  </conditionalFormatting>
  <conditionalFormatting sqref="BA54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BA55:BA56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BC25:BD25 BC26:BC41 BE26:BF26 BE27:BE41 BF27:BF47">
    <cfRule type="cellIs" dxfId="353" priority="49" stopIfTrue="1" operator="equal">
      <formula>"ERROR"</formula>
    </cfRule>
    <cfRule type="cellIs" dxfId="352" priority="50" stopIfTrue="1" operator="equal">
      <formula>"OK"</formula>
    </cfRule>
    <cfRule type="cellIs" dxfId="351" priority="51" stopIfTrue="1" operator="equal">
      <formula>"WARNING"</formula>
    </cfRule>
  </conditionalFormatting>
  <conditionalFormatting sqref="BD26:BD41">
    <cfRule type="cellIs" dxfId="350" priority="46" stopIfTrue="1" operator="equal">
      <formula>"ERROR"</formula>
    </cfRule>
    <cfRule type="cellIs" dxfId="349" priority="47" stopIfTrue="1" operator="equal">
      <formula>"OK"</formula>
    </cfRule>
    <cfRule type="cellIs" dxfId="348" priority="48" stopIfTrue="1" operator="equal">
      <formula>"WARNING"</formula>
    </cfRule>
  </conditionalFormatting>
  <conditionalFormatting sqref="BC46:BC47 BE46:BE47">
    <cfRule type="cellIs" dxfId="347" priority="43" stopIfTrue="1" operator="equal">
      <formula>"ERROR"</formula>
    </cfRule>
    <cfRule type="cellIs" dxfId="346" priority="44" stopIfTrue="1" operator="equal">
      <formula>"OK"</formula>
    </cfRule>
    <cfRule type="cellIs" dxfId="345" priority="45" stopIfTrue="1" operator="equal">
      <formula>"WARNING"</formula>
    </cfRule>
  </conditionalFormatting>
  <conditionalFormatting sqref="BD46:BD47">
    <cfRule type="cellIs" dxfId="344" priority="40" stopIfTrue="1" operator="equal">
      <formula>"ERROR"</formula>
    </cfRule>
    <cfRule type="cellIs" dxfId="343" priority="41" stopIfTrue="1" operator="equal">
      <formula>"OK"</formula>
    </cfRule>
    <cfRule type="cellIs" dxfId="342" priority="42" stopIfTrue="1" operator="equal">
      <formula>"WARNING"</formula>
    </cfRule>
  </conditionalFormatting>
  <conditionalFormatting sqref="BC42:BC45 BE42:BE45">
    <cfRule type="cellIs" dxfId="341" priority="37" stopIfTrue="1" operator="equal">
      <formula>"ERROR"</formula>
    </cfRule>
    <cfRule type="cellIs" dxfId="340" priority="38" stopIfTrue="1" operator="equal">
      <formula>"OK"</formula>
    </cfRule>
    <cfRule type="cellIs" dxfId="339" priority="39" stopIfTrue="1" operator="equal">
      <formula>"WARNING"</formula>
    </cfRule>
  </conditionalFormatting>
  <conditionalFormatting sqref="BD42:BD45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BI24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BQ77:BQ7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BQ79:BQ80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BQ81:BQ82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Q80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BQ81:BQ82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BO22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H92:J107">
    <cfRule type="cellIs" dxfId="314" priority="148" stopIfTrue="1" operator="equal">
      <formula>"ERROR"</formula>
    </cfRule>
  </conditionalFormatting>
  <conditionalFormatting sqref="H92:J107">
    <cfRule type="cellIs" dxfId="313" priority="149" stopIfTrue="1" operator="equal">
      <formula>"OK"</formula>
    </cfRule>
  </conditionalFormatting>
  <conditionalFormatting sqref="H92:J107">
    <cfRule type="cellIs" dxfId="312" priority="150" stopIfTrue="1" operator="equal">
      <formula>"WARNING"</formula>
    </cfRule>
  </conditionalFormatting>
  <conditionalFormatting sqref="C88">
    <cfRule type="cellIs" dxfId="311" priority="10" stopIfTrue="1" operator="equal">
      <formula>"ERROR"</formula>
    </cfRule>
  </conditionalFormatting>
  <conditionalFormatting sqref="C88">
    <cfRule type="cellIs" dxfId="310" priority="11" stopIfTrue="1" operator="equal">
      <formula>"OK"</formula>
    </cfRule>
  </conditionalFormatting>
  <conditionalFormatting sqref="C88">
    <cfRule type="cellIs" dxfId="309" priority="12" stopIfTrue="1" operator="equal">
      <formula>"WARNING"</formula>
    </cfRule>
  </conditionalFormatting>
  <conditionalFormatting sqref="C89">
    <cfRule type="cellIs" dxfId="308" priority="7" stopIfTrue="1" operator="equal">
      <formula>"ERROR"</formula>
    </cfRule>
  </conditionalFormatting>
  <conditionalFormatting sqref="C89">
    <cfRule type="cellIs" dxfId="307" priority="8" stopIfTrue="1" operator="equal">
      <formula>"OK"</formula>
    </cfRule>
  </conditionalFormatting>
  <conditionalFormatting sqref="C89">
    <cfRule type="cellIs" dxfId="306" priority="9" stopIfTrue="1" operator="equal">
      <formula>"WARNING"</formula>
    </cfRule>
  </conditionalFormatting>
  <conditionalFormatting sqref="D12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F72:F84">
    <cfRule type="cellIs" dxfId="302" priority="151" stopIfTrue="1" operator="equal">
      <formula>"ERROR"</formula>
    </cfRule>
  </conditionalFormatting>
  <conditionalFormatting sqref="F72:F84">
    <cfRule type="cellIs" dxfId="301" priority="152" stopIfTrue="1" operator="equal">
      <formula>"OK"</formula>
    </cfRule>
  </conditionalFormatting>
  <conditionalFormatting sqref="F72:F84">
    <cfRule type="cellIs" dxfId="300" priority="153" stopIfTrue="1" operator="equal">
      <formula>"WARNING"</formula>
    </cfRule>
  </conditionalFormatting>
  <conditionalFormatting sqref="C61">
    <cfRule type="cellIs" dxfId="299" priority="1" stopIfTrue="1" operator="equal">
      <formula>"ERROR"</formula>
    </cfRule>
  </conditionalFormatting>
  <conditionalFormatting sqref="C61">
    <cfRule type="cellIs" dxfId="298" priority="2" stopIfTrue="1" operator="equal">
      <formula>"OK"</formula>
    </cfRule>
  </conditionalFormatting>
  <conditionalFormatting sqref="C61">
    <cfRule type="cellIs" dxfId="297" priority="3" stopIfTrue="1" operator="equal">
      <formula>"WARNING"</formula>
    </cfRule>
  </conditionalFormatting>
  <conditionalFormatting sqref="D11">
    <cfRule type="cellIs" dxfId="296" priority="154" stopIfTrue="1" operator="equal">
      <formula>"ERROR"</formula>
    </cfRule>
    <cfRule type="cellIs" dxfId="295" priority="155" stopIfTrue="1" operator="equal">
      <formula>"OK"</formula>
    </cfRule>
    <cfRule type="cellIs" dxfId="294" priority="156" stopIfTrue="1" operator="equal">
      <formula>"WARNING"</formula>
    </cfRule>
  </conditionalFormatting>
  <conditionalFormatting sqref="J112:M142">
    <cfRule type="cellIs" dxfId="293" priority="157" stopIfTrue="1" operator="equal">
      <formula>"ERROR"</formula>
    </cfRule>
  </conditionalFormatting>
  <conditionalFormatting sqref="J112:M142">
    <cfRule type="cellIs" dxfId="292" priority="158" stopIfTrue="1" operator="equal">
      <formula>"OK"</formula>
    </cfRule>
  </conditionalFormatting>
  <conditionalFormatting sqref="J112:M142">
    <cfRule type="cellIs" dxfId="291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15" zoomScaleNormal="115" workbookViewId="0">
      <selection activeCell="J12" sqref="J12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aca="1" ref="C4" ca="1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498</v>
      </c>
      <c r="C7" s="415"/>
      <c r="D7" s="415"/>
      <c r="E7" s="300" t="str">
        <f ca="1"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aca="1" ref="C12" ca="1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499</v>
      </c>
      <c r="C17" s="572">
        <v>0.1</v>
      </c>
      <c r="D17" s="439"/>
      <c r="E17" s="123" t="str">
        <f t="array" aca="1" ref="E17:F20" ca="1">_xll.d.IR_BlackForwardOptionPricer(C17,C18,C19,C20,C21,C22,C23,"VERBOSE")</f>
        <v>Price</v>
      </c>
      <c r="F17" s="576">
        <f ca="1"/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aca="1" ref="I17" ca="1">_xll.d.TestUtils_Equal(E17,G17)</f>
        <v>Ok</v>
      </c>
      <c r="J17" s="579" t="str" cm="1">
        <f t="array" aca="1" ref="J17" ca="1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aca="1" ref="O17" ca="1">_xll.d.IR_BlackForwardOptionPricer(M17,M18,M19,M20,M21,M22,M23)</f>
        <v>5.5832072827947171E-3</v>
      </c>
      <c r="P17" s="575">
        <f>H17</f>
        <v>5.5832072827947232E-3</v>
      </c>
      <c r="Q17" s="579" t="str" cm="1">
        <f t="array" aca="1" ref="Q17" ca="1">_xll.d.TestUtils_Equal(O17,P17)</f>
        <v>Ok</v>
      </c>
      <c r="R17" s="439"/>
      <c r="S17" s="123" t="s">
        <v>499</v>
      </c>
      <c r="T17" s="572">
        <v>0.1</v>
      </c>
      <c r="V17" s="585" t="str" cm="1">
        <f t="array" aca="1" ref="V17" ca="1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aca="1" ref="AB17" ca="1">_xll.d.TestUtils_Equal(V17,Y17)</f>
        <v>Ok</v>
      </c>
      <c r="AD17" s="123" t="s">
        <v>499</v>
      </c>
      <c r="AE17" s="572">
        <v>0.1</v>
      </c>
      <c r="AF17" s="439"/>
      <c r="AG17" s="585" t="str" cm="1">
        <f t="array" aca="1" ref="AG17" ca="1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aca="1" ref="AM17" ca="1">_xll.d.TestUtils_Equal(AG17,AJ17)</f>
        <v>Ok</v>
      </c>
    </row>
    <row r="18" spans="1:39">
      <c r="A18" s="439"/>
      <c r="B18" s="125" t="s">
        <v>500</v>
      </c>
      <c r="C18" s="573">
        <v>0.1</v>
      </c>
      <c r="D18" s="439"/>
      <c r="E18" s="125" t="str">
        <f ca="1"/>
        <v>d1</v>
      </c>
      <c r="F18" s="577">
        <f ca="1"/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aca="1" ref="I18" ca="1">_xll.d.TestUtils_Equal(E18,G18)</f>
        <v>Ok</v>
      </c>
      <c r="J18" s="579" t="str" cm="1">
        <f t="array" aca="1" ref="J18" ca="1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502</v>
      </c>
      <c r="C19" s="573">
        <v>0.09</v>
      </c>
      <c r="D19" s="439"/>
      <c r="E19" s="125" t="str">
        <f ca="1"/>
        <v>d2</v>
      </c>
      <c r="F19" s="577">
        <f ca="1"/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aca="1" ref="I19" ca="1">_xll.d.TestUtils_Equal(E19,G19)</f>
        <v>Ok</v>
      </c>
      <c r="J19" s="579" t="str" cm="1">
        <f t="array" aca="1" ref="J19" ca="1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f ca="1"/>
        <v>Discount Factor</v>
      </c>
      <c r="F20" s="578">
        <f ca="1"/>
        <v>0.97044553354850815</v>
      </c>
      <c r="G20" s="127" t="s">
        <v>509</v>
      </c>
      <c r="H20" s="578">
        <v>0.97044553354850815</v>
      </c>
      <c r="I20" s="579" t="str" cm="1">
        <f t="array" aca="1" ref="I20" ca="1">_xll.d.TestUtils_Equal(E20,G20)</f>
        <v>Ok</v>
      </c>
      <c r="J20" s="579" t="str" cm="1">
        <f t="array" aca="1" ref="J20" ca="1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E27" s="439"/>
      <c r="F27" s="439"/>
      <c r="G27" s="439"/>
      <c r="H27" s="439"/>
      <c r="I27" s="439"/>
      <c r="J27" s="439"/>
      <c r="K27" s="439"/>
      <c r="L27" s="439"/>
    </row>
    <row r="42" spans="3:11">
      <c r="F42" s="495"/>
    </row>
    <row r="44" spans="3:11">
      <c r="C44" s="495"/>
      <c r="K44" s="439"/>
    </row>
    <row r="45" spans="3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389</v>
      </c>
    </row>
    <row r="2" spans="1:54" ht="26.25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aca="1" ref="C4" ca="1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391</v>
      </c>
      <c r="C7" s="415"/>
      <c r="D7" s="300" t="str">
        <f ca="1"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392</v>
      </c>
      <c r="C8" s="415"/>
      <c r="D8" s="300" t="str">
        <f ca="1"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aca="1" ref="C13" ca="1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aca="1" ref="C17" ca="1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 ca="1">AP20</f>
        <v>Ok</v>
      </c>
      <c r="AR17" s="50" t="s">
        <v>141</v>
      </c>
      <c r="AS17" s="455" t="str">
        <f ca="1"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aca="1" ref="AJ20" ca="1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aca="1" ref="AP20" ca="1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aca="1" ref="AV20" ca="1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aca="1" ref="BB20" ca="1">_xll.d.TestUtils_Equal(AV20,AY20)</f>
        <v>Ok</v>
      </c>
    </row>
    <row r="21" spans="1:54" s="439" customFormat="1">
      <c r="B21" s="486" t="s">
        <v>451</v>
      </c>
      <c r="C21" s="488">
        <f>3/12</f>
        <v>0.25</v>
      </c>
      <c r="D21" s="614"/>
      <c r="E21" s="958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58" t="s">
        <v>432</v>
      </c>
      <c r="O21" s="288" t="s">
        <v>220</v>
      </c>
      <c r="P21" s="641" cm="1">
        <f t="array" aca="1" ref="P21" ca="1">_xll.d.IR_ConvertInterestRate($C$20,$O21,P$20,$C$21)</f>
        <v>1.15E-2</v>
      </c>
      <c r="Q21" s="642" cm="1">
        <f t="array" aca="1" ref="Q21" ca="1">_xll.d.IR_ConvertInterestRate($C$20,$O21,Q$20,$C$21)</f>
        <v>1.1549688873008002E-2</v>
      </c>
      <c r="R21" s="642" cm="1">
        <f t="array" aca="1" ref="R21" ca="1">_xll.d.IR_ConvertInterestRate($C$20,$O21,R$20,$C$21)</f>
        <v>1.1516531249999851E-2</v>
      </c>
      <c r="S21" s="642" cm="1">
        <f t="array" aca="1" ref="S21" ca="1">_xll.d.IR_ConvertInterestRate($C$20,$O21,S$20,$C$21)</f>
        <v>1.1499999999999844E-2</v>
      </c>
      <c r="T21" s="642" cm="1">
        <f t="array" aca="1" ref="T21" ca="1">_xll.d.IR_ConvertInterestRate($C$20,$O21,T$20,$C$21)</f>
        <v>1.1488996735719681E-2</v>
      </c>
      <c r="U21" s="645" cm="1">
        <f t="array" aca="1" ref="U21" ca="1">_xll.d.IR_ConvertInterestRate($C$20,$O21,U$20,$C$21)</f>
        <v>1.1483500366731883E-2</v>
      </c>
      <c r="W21" s="958" t="s">
        <v>432</v>
      </c>
      <c r="X21" s="288" t="s">
        <v>220</v>
      </c>
      <c r="Y21" s="451" t="str" cm="1">
        <f t="array" aca="1" ref="Y21" ca="1">_xll.d.TestUtils_Equal(G21,P21)</f>
        <v>Ok</v>
      </c>
      <c r="Z21" s="451" t="str" cm="1">
        <f t="array" aca="1" ref="Z21" ca="1">_xll.d.TestUtils_Equal(H21,Q21)</f>
        <v>Ok</v>
      </c>
      <c r="AA21" s="451" t="str" cm="1">
        <f t="array" aca="1" ref="AA21" ca="1">_xll.d.TestUtils_Equal(I21,R21)</f>
        <v>Ok</v>
      </c>
      <c r="AB21" s="451" t="str" cm="1">
        <f t="array" aca="1" ref="AB21" ca="1">_xll.d.TestUtils_Equal(J21,S21)</f>
        <v>Ok</v>
      </c>
      <c r="AC21" s="451" t="str" cm="1">
        <f t="array" aca="1" ref="AC21" ca="1">_xll.d.TestUtils_Equal(K21,T21)</f>
        <v>Ok</v>
      </c>
      <c r="AD21" s="451" t="str" cm="1">
        <f t="array" aca="1" ref="AD21" ca="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59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59"/>
      <c r="O22" s="289" t="s">
        <v>80</v>
      </c>
      <c r="P22" s="643" cm="1">
        <f t="array" aca="1" ref="P22" ca="1">_xll.d.IR_ConvertInterestRate($C$20,$O22,P$20,$C$21)</f>
        <v>1.1450736333546985E-2</v>
      </c>
      <c r="Q22" s="491" cm="1">
        <f t="array" aca="1" ref="Q22" ca="1">_xll.d.IR_ConvertInterestRate($C$20,$O22,Q$20,$C$21)</f>
        <v>1.15E-2</v>
      </c>
      <c r="R22" s="491" cm="1">
        <f t="array" aca="1" ref="R22" ca="1">_xll.d.IR_ConvertInterestRate($C$20,$O22,R$20,$C$21)</f>
        <v>1.1467126253869697E-2</v>
      </c>
      <c r="S22" s="491" cm="1">
        <f t="array" aca="1" ref="S22" ca="1">_xll.d.IR_ConvertInterestRate($C$20,$O22,S$20,$C$21)</f>
        <v>1.1450736333546985E-2</v>
      </c>
      <c r="T22" s="491" cm="1">
        <f t="array" aca="1" ref="T22" ca="1">_xll.d.IR_ConvertInterestRate($C$20,$O22,T$20,$C$21)</f>
        <v>1.1439827064371855E-2</v>
      </c>
      <c r="U22" s="646" cm="1">
        <f t="array" aca="1" ref="U22" ca="1">_xll.d.IR_ConvertInterestRate($C$20,$O22,U$20,$C$21)</f>
        <v>1.143437762566317E-2</v>
      </c>
      <c r="W22" s="959"/>
      <c r="X22" s="289" t="s">
        <v>80</v>
      </c>
      <c r="Y22" s="451" t="str" cm="1">
        <f t="array" aca="1" ref="Y22" ca="1">_xll.d.TestUtils_Equal(G22,P22)</f>
        <v>Ok</v>
      </c>
      <c r="Z22" s="451" t="str" cm="1">
        <f t="array" aca="1" ref="Z22" ca="1">_xll.d.TestUtils_Equal(H22,Q22)</f>
        <v>Ok</v>
      </c>
      <c r="AA22" s="451" t="str" cm="1">
        <f t="array" aca="1" ref="AA22" ca="1">_xll.d.TestUtils_Equal(I22,R22)</f>
        <v>Ok</v>
      </c>
      <c r="AB22" s="451" t="str" cm="1">
        <f t="array" aca="1" ref="AB22" ca="1">_xll.d.TestUtils_Equal(J22,S22)</f>
        <v>Ok</v>
      </c>
      <c r="AC22" s="451" t="str" cm="1">
        <f t="array" aca="1" ref="AC22" ca="1">_xll.d.TestUtils_Equal(K22,T22)</f>
        <v>Ok</v>
      </c>
      <c r="AD22" s="451" t="str" cm="1">
        <f t="array" aca="1" ref="AD22" ca="1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>
      <c r="B23" s="298"/>
      <c r="D23" s="615">
        <v>2</v>
      </c>
      <c r="E23" s="959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59"/>
      <c r="O23" s="289" t="s">
        <v>81</v>
      </c>
      <c r="P23" s="643" cm="1">
        <f t="array" aca="1" ref="P23" ca="1">_xll.d.IR_ConvertInterestRate($C$20,$O23,P$20,$C$21)</f>
        <v>1.1483516107226421E-2</v>
      </c>
      <c r="Q23" s="491" cm="1">
        <f t="array" aca="1" ref="Q23" ca="1">_xll.d.IR_ConvertInterestRate($C$20,$O23,Q$20,$C$21)</f>
        <v>1.1533062499999858E-2</v>
      </c>
      <c r="R23" s="491" cm="1">
        <f t="array" aca="1" ref="R23" ca="1">_xll.d.IR_ConvertInterestRate($C$20,$O23,R$20,$C$21)</f>
        <v>1.15E-2</v>
      </c>
      <c r="S23" s="491" cm="1">
        <f t="array" aca="1" ref="S23" ca="1">_xll.d.IR_ConvertInterestRate($C$20,$O23,S$20,$C$21)</f>
        <v>1.1483516107226421E-2</v>
      </c>
      <c r="T23" s="491" cm="1">
        <f t="array" aca="1" ref="T23" ca="1">_xll.d.IR_ConvertInterestRate($C$20,$O23,T$20,$C$21)</f>
        <v>1.1472544339037327E-2</v>
      </c>
      <c r="U23" s="646" cm="1">
        <f t="array" aca="1" ref="U23" ca="1">_xll.d.IR_ConvertInterestRate($C$20,$O23,U$20,$C$21)</f>
        <v>1.1467063695520934E-2</v>
      </c>
      <c r="W23" s="959"/>
      <c r="X23" s="289" t="s">
        <v>81</v>
      </c>
      <c r="Y23" s="451" t="str" cm="1">
        <f t="array" aca="1" ref="Y23" ca="1">_xll.d.TestUtils_Equal(G23,P23)</f>
        <v>Ok</v>
      </c>
      <c r="Z23" s="451" t="str" cm="1">
        <f t="array" aca="1" ref="Z23" ca="1">_xll.d.TestUtils_Equal(H23,Q23)</f>
        <v>Ok</v>
      </c>
      <c r="AA23" s="451" t="str" cm="1">
        <f t="array" aca="1" ref="AA23" ca="1">_xll.d.TestUtils_Equal(I23,R23)</f>
        <v>Ok</v>
      </c>
      <c r="AB23" s="451" t="str" cm="1">
        <f t="array" aca="1" ref="AB23" ca="1">_xll.d.TestUtils_Equal(J23,S23)</f>
        <v>Ok</v>
      </c>
      <c r="AC23" s="451" t="str" cm="1">
        <f t="array" aca="1" ref="AC23" ca="1">_xll.d.TestUtils_Equal(K23,T23)</f>
        <v>Ok</v>
      </c>
      <c r="AD23" s="451" t="str" cm="1">
        <f t="array" aca="1" ref="AD23" ca="1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59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59"/>
      <c r="O24" s="289" t="s">
        <v>66</v>
      </c>
      <c r="P24" s="643" cm="1">
        <f t="array" aca="1" ref="P24" ca="1">_xll.d.IR_ConvertInterestRate($C$20,$O24,P$20,$C$21)</f>
        <v>1.1499999999999844E-2</v>
      </c>
      <c r="Q24" s="491" cm="1">
        <f t="array" aca="1" ref="Q24" ca="1">_xll.d.IR_ConvertInterestRate($C$20,$O24,Q$20,$C$21)</f>
        <v>1.1549688873008002E-2</v>
      </c>
      <c r="R24" s="491" cm="1">
        <f t="array" aca="1" ref="R24" ca="1">_xll.d.IR_ConvertInterestRate($C$20,$O24,R$20,$C$21)</f>
        <v>1.1516531249999851E-2</v>
      </c>
      <c r="S24" s="491" cm="1">
        <f t="array" aca="1" ref="S24" ca="1">_xll.d.IR_ConvertInterestRate($C$20,$O24,S$20,$C$21)</f>
        <v>1.15E-2</v>
      </c>
      <c r="T24" s="491" cm="1">
        <f t="array" aca="1" ref="T24" ca="1">_xll.d.IR_ConvertInterestRate($C$20,$O24,T$20,$C$21)</f>
        <v>1.1488996735719681E-2</v>
      </c>
      <c r="U24" s="646" cm="1">
        <f t="array" aca="1" ref="U24" ca="1">_xll.d.IR_ConvertInterestRate($C$20,$O24,U$20,$C$21)</f>
        <v>1.1483500366731883E-2</v>
      </c>
      <c r="W24" s="959"/>
      <c r="X24" s="289" t="s">
        <v>66</v>
      </c>
      <c r="Y24" s="451" t="str" cm="1">
        <f t="array" aca="1" ref="Y24" ca="1">_xll.d.TestUtils_Equal(G24,P24)</f>
        <v>Ok</v>
      </c>
      <c r="Z24" s="451" t="str" cm="1">
        <f t="array" aca="1" ref="Z24" ca="1">_xll.d.TestUtils_Equal(H24,Q24)</f>
        <v>Ok</v>
      </c>
      <c r="AA24" s="451" t="str" cm="1">
        <f t="array" aca="1" ref="AA24" ca="1">_xll.d.TestUtils_Equal(I24,R24)</f>
        <v>Ok</v>
      </c>
      <c r="AB24" s="451" t="str" cm="1">
        <f t="array" aca="1" ref="AB24" ca="1">_xll.d.TestUtils_Equal(J24,S24)</f>
        <v>Ok</v>
      </c>
      <c r="AC24" s="451" t="str" cm="1">
        <f t="array" aca="1" ref="AC24" ca="1">_xll.d.TestUtils_Equal(K24,T24)</f>
        <v>Ok</v>
      </c>
      <c r="AD24" s="451" t="str" cm="1">
        <f t="array" aca="1" ref="AD24" ca="1">_xll.d.TestUtils_Equal(L24,U24)</f>
        <v>Ok</v>
      </c>
    </row>
    <row r="25" spans="1:54" s="439" customFormat="1">
      <c r="B25" s="298"/>
      <c r="D25" s="616">
        <v>12</v>
      </c>
      <c r="E25" s="959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59"/>
      <c r="O25" s="289" t="s">
        <v>65</v>
      </c>
      <c r="P25" s="643" cm="1">
        <f t="array" aca="1" ref="P25" ca="1">_xll.d.IR_ConvertInterestRate($C$20,$O25,P$20,$C$21)</f>
        <v>1.151102435387763E-2</v>
      </c>
      <c r="Q25" s="491" cm="1">
        <f t="array" aca="1" ref="Q25" ca="1">_xll.d.IR_ConvertInterestRate($C$20,$O25,Q$20,$C$21)</f>
        <v>1.1560808631408515E-2</v>
      </c>
      <c r="R25" s="491" cm="1">
        <f t="array" aca="1" ref="R25" ca="1">_xll.d.IR_ConvertInterestRate($C$20,$O25,R$20,$C$21)</f>
        <v>1.1527587314087651E-2</v>
      </c>
      <c r="S25" s="491" cm="1">
        <f t="array" aca="1" ref="S25" ca="1">_xll.d.IR_ConvertInterestRate($C$20,$O25,S$20,$C$21)</f>
        <v>1.151102435387763E-2</v>
      </c>
      <c r="T25" s="491" cm="1">
        <f t="array" aca="1" ref="T25" ca="1">_xll.d.IR_ConvertInterestRate($C$20,$O25,T$20,$C$21)</f>
        <v>1.15E-2</v>
      </c>
      <c r="U25" s="646" cm="1">
        <f t="array" aca="1" ref="U25" ca="1">_xll.d.IR_ConvertInterestRate($C$20,$O25,U$20,$C$21)</f>
        <v>1.1494493101349593E-2</v>
      </c>
      <c r="W25" s="959"/>
      <c r="X25" s="289" t="s">
        <v>65</v>
      </c>
      <c r="Y25" s="451" t="str" cm="1">
        <f t="array" aca="1" ref="Y25" ca="1">_xll.d.TestUtils_Equal(G25,P25)</f>
        <v>Ok</v>
      </c>
      <c r="Z25" s="451" t="str" cm="1">
        <f t="array" aca="1" ref="Z25" ca="1">_xll.d.TestUtils_Equal(H25,Q25)</f>
        <v>Ok</v>
      </c>
      <c r="AA25" s="451" t="str" cm="1">
        <f t="array" aca="1" ref="AA25" ca="1">_xll.d.TestUtils_Equal(I25,R25)</f>
        <v>Ok</v>
      </c>
      <c r="AB25" s="451" t="str" cm="1">
        <f t="array" aca="1" ref="AB25" ca="1">_xll.d.TestUtils_Equal(J25,S25)</f>
        <v>Ok</v>
      </c>
      <c r="AC25" s="451" t="str" cm="1">
        <f t="array" aca="1" ref="AC25" ca="1">_xll.d.TestUtils_Equal(K25,T25)</f>
        <v>Ok</v>
      </c>
      <c r="AD25" s="451" t="str" cm="1">
        <f t="array" aca="1" ref="AD25" ca="1">_xll.d.TestUtils_Equal(L25,U25)</f>
        <v>Ok</v>
      </c>
    </row>
    <row r="26" spans="1:54" s="439" customFormat="1">
      <c r="B26" s="298"/>
      <c r="D26" s="616"/>
      <c r="E26" s="960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60"/>
      <c r="O26" s="290" t="s">
        <v>64</v>
      </c>
      <c r="P26" s="647" cm="1">
        <f t="array" aca="1" ref="P26" ca="1">_xll.d.IR_ConvertInterestRate($C$20,$O26,P$20,$C$21)</f>
        <v>1.1516547103841646E-2</v>
      </c>
      <c r="Q26" s="648" cm="1">
        <f t="array" aca="1" ref="Q26" ca="1">_xll.d.IR_ConvertInterestRate($C$20,$O26,Q$20,$C$21)</f>
        <v>1.1566379209598576E-2</v>
      </c>
      <c r="R26" s="648" cm="1">
        <f t="array" aca="1" ref="R26" ca="1">_xll.d.IR_ConvertInterestRate($C$20,$O26,R$20,$C$21)</f>
        <v>1.1533125960990542E-2</v>
      </c>
      <c r="S26" s="648" cm="1">
        <f t="array" aca="1" ref="S26" ca="1">_xll.d.IR_ConvertInterestRate($C$20,$O26,S$20,$C$21)</f>
        <v>1.1516547103841646E-2</v>
      </c>
      <c r="T26" s="648" cm="1">
        <f t="array" aca="1" ref="T26" ca="1">_xll.d.IR_ConvertInterestRate($C$20,$O26,T$20,$C$21)</f>
        <v>1.1505512177360622E-2</v>
      </c>
      <c r="U26" s="649" cm="1">
        <f t="array" aca="1" ref="U26" ca="1">_xll.d.IR_ConvertInterestRate($C$20,$O26,U$20,$C$21)</f>
        <v>1.15E-2</v>
      </c>
      <c r="W26" s="960"/>
      <c r="X26" s="290" t="s">
        <v>64</v>
      </c>
      <c r="Y26" s="451" t="str" cm="1">
        <f t="array" aca="1" ref="Y26" ca="1">_xll.d.TestUtils_Equal(G26,P26)</f>
        <v>Ok</v>
      </c>
      <c r="Z26" s="451" t="str" cm="1">
        <f t="array" aca="1" ref="Z26" ca="1">_xll.d.TestUtils_Equal(H26,Q26)</f>
        <v>Ok</v>
      </c>
      <c r="AA26" s="451" t="str" cm="1">
        <f t="array" aca="1" ref="AA26" ca="1">_xll.d.TestUtils_Equal(I26,R26)</f>
        <v>Ok</v>
      </c>
      <c r="AB26" s="451" t="str" cm="1">
        <f t="array" aca="1" ref="AB26" ca="1">_xll.d.TestUtils_Equal(J26,S26)</f>
        <v>Ok</v>
      </c>
      <c r="AC26" s="451" t="str" cm="1">
        <f t="array" aca="1" ref="AC26" ca="1">_xll.d.TestUtils_Equal(K26,T26)</f>
        <v>Ok</v>
      </c>
      <c r="AD26" s="451" t="str" cm="1">
        <f t="array" aca="1" ref="AD26" ca="1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aca="1" ref="C31" ca="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aca="1" ref="C35" ca="1">_xll.d.TestUtils_And(H38:H43)</f>
        <v>Ok</v>
      </c>
      <c r="J35" s="50" t="s">
        <v>141</v>
      </c>
      <c r="K35" s="455" t="str">
        <f ca="1"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441</v>
      </c>
      <c r="C38" s="464">
        <v>0.9993298952745</v>
      </c>
      <c r="D38" s="439"/>
      <c r="E38" s="403" t="s">
        <v>220</v>
      </c>
      <c r="F38" s="470" cm="1">
        <f t="array" aca="1" ref="F38" ca="1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aca="1" ref="H38" ca="1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aca="1" ref="M38" ca="1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aca="1" ref="S38" ca="1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442</v>
      </c>
      <c r="C39" s="465">
        <v>0.99640260231230005</v>
      </c>
      <c r="D39" s="439"/>
      <c r="E39" s="468" t="s">
        <v>64</v>
      </c>
      <c r="F39" s="473" cm="1">
        <f t="array" aca="1" ref="F39" ca="1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aca="1" ref="H39" ca="1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443</v>
      </c>
      <c r="C40" s="128">
        <v>0.25</v>
      </c>
      <c r="D40" s="439"/>
      <c r="E40" s="468" t="s">
        <v>80</v>
      </c>
      <c r="F40" s="473" cm="1">
        <f t="array" aca="1" ref="F40" ca="1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aca="1" ref="H40" ca="1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aca="1" ref="F41" ca="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aca="1" ref="H41" ca="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aca="1" ref="F42" ca="1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aca="1" ref="H42" ca="1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aca="1" ref="F43" ca="1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aca="1" ref="H43" ca="1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389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389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389</v>
      </c>
    </row>
    <row r="2" spans="2:34" ht="26.25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453</v>
      </c>
      <c r="F5" s="597"/>
    </row>
    <row r="6" spans="2:34">
      <c r="E6" s="598" t="s">
        <v>452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567</v>
      </c>
      <c r="C8" s="164" t="str" cm="1">
        <f t="array" aca="1" ref="C8" ca="1">_xll.d.TestUtils_And(J20,J23,H26:J28,H31:J33,Y20,Y23,Y26,Y31)</f>
        <v>Ok</v>
      </c>
      <c r="E8" s="612" t="s">
        <v>571</v>
      </c>
    </row>
    <row r="9" spans="2:34">
      <c r="B9" s="480" t="s">
        <v>568</v>
      </c>
      <c r="C9" s="164" t="str" cm="1">
        <f t="array" aca="1" ref="C9" ca="1">_xll.d.TestUtils_And(J39,J42,H45:J47,H50:J52,Y39,Y42,Y45,Y50)</f>
        <v>Ok</v>
      </c>
      <c r="E9" s="612" t="s">
        <v>572</v>
      </c>
    </row>
    <row r="12" spans="2:34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389</v>
      </c>
    </row>
    <row r="2" spans="2:21" ht="26.25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453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534</v>
      </c>
      <c r="D18" s="593" t="s">
        <v>535</v>
      </c>
    </row>
    <row r="19" spans="2:11" s="439" customFormat="1" ht="15.75">
      <c r="B19" s="600" t="s">
        <v>533</v>
      </c>
      <c r="C19" s="592"/>
      <c r="D19" s="4" t="s">
        <v>541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Ok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389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aca="1" ref="C4" ca="1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 ca="1"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 ca="1"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 ca="1"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 ca="1"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 ca="1"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 ca="1"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 ca="1"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 ca="1"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 ca="1">C197</f>
        <v>Ok</v>
      </c>
    </row>
    <row r="16" spans="2:23">
      <c r="B16" s="199" t="s">
        <v>171</v>
      </c>
      <c r="C16" s="164" t="str">
        <f ca="1"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aca="1" ref="C21" ca="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aca="1" ref="C27" ca="1">_xll.d.TestUtils_IsTrue(C32="OK")</f>
        <v>Ok</v>
      </c>
      <c r="E27" s="50" t="s">
        <v>108</v>
      </c>
      <c r="F27" s="164" t="str" cm="1">
        <f t="array" aca="1" ref="F27" ca="1">_xll.d.TestUtils_IsTrue(E35="OK")</f>
        <v>Ok</v>
      </c>
      <c r="J27" s="50" t="s">
        <v>108</v>
      </c>
      <c r="K27" s="164" t="str" cm="1">
        <f t="array" aca="1" ref="K27" ca="1">_xll.d.TestUtils_IsTrue(J32="OK")</f>
        <v>Ok</v>
      </c>
      <c r="O27" s="50" t="s">
        <v>108</v>
      </c>
      <c r="P27" s="164" t="str" cm="1">
        <f t="array" aca="1" ref="P27" ca="1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aca="1" ref="C32" ca="1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aca="1" ref="J32" ca="1">_xll.d.TestUtils_And(J35:M38)</f>
        <v>Ok</v>
      </c>
      <c r="O32" s="165" t="str" cm="1">
        <f t="array" aca="1" ref="O32" ca="1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aca="1" ref="E35" ca="1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aca="1" ref="C43" ca="1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aca="1" ref="C49" ca="1">_xll.d.TestUtils_IsTrue(C54="ERROR")</f>
        <v>Ok</v>
      </c>
      <c r="E49" s="50" t="s">
        <v>108</v>
      </c>
      <c r="F49" s="164" t="str" cm="1">
        <f t="array" aca="1" ref="F49" ca="1">_xll.d.TestUtils_IsTrue(E54="ERROR")</f>
        <v>Ok</v>
      </c>
      <c r="J49" s="50" t="s">
        <v>108</v>
      </c>
      <c r="K49" s="164" t="str" cm="1">
        <f t="array" aca="1" ref="K49" ca="1">_xll.d.TestUtils_IsTrue(J54="ERROR")</f>
        <v>Ok</v>
      </c>
      <c r="O49" s="50" t="s">
        <v>108</v>
      </c>
      <c r="P49" s="164" t="str" cm="1">
        <f t="array" aca="1" ref="P49" ca="1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aca="1" ref="C54" ca="1">_xll.d.TestUtils_And(B54:B57)</f>
        <v>Error</v>
      </c>
      <c r="E54" s="165" t="str" cm="1">
        <f t="array" aca="1" ref="E54" ca="1">_xll.d.TestUtils_And(E57:H57)</f>
        <v>Error</v>
      </c>
      <c r="J54" s="165" t="str" cm="1">
        <f t="array" aca="1" ref="J54" ca="1">_xll.d.TestUtils_And(J57:M60)</f>
        <v>Error</v>
      </c>
      <c r="O54" s="165" t="str" cm="1">
        <f t="array" aca="1" ref="O54" ca="1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aca="1" ref="C65" ca="1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aca="1" ref="C71" ca="1">_xll.d.TestUtils_IsTrue(C76="WARNING")</f>
        <v>Ok</v>
      </c>
      <c r="E71" s="50" t="s">
        <v>108</v>
      </c>
      <c r="F71" s="164" t="str" cm="1">
        <f t="array" aca="1" ref="F71" ca="1">_xll.d.TestUtils_IsTrue(E76="WARNING")</f>
        <v>Ok</v>
      </c>
      <c r="J71" s="50" t="s">
        <v>108</v>
      </c>
      <c r="K71" s="164" t="str" cm="1">
        <f t="array" aca="1" ref="K71" ca="1">_xll.d.TestUtils_IsTrue(J76="WARNING")</f>
        <v>Ok</v>
      </c>
      <c r="O71" s="50" t="s">
        <v>108</v>
      </c>
      <c r="P71" s="164" t="str" cm="1">
        <f t="array" aca="1" ref="P71" ca="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aca="1" ref="C76" ca="1">_xll.d.TestUtils_And(B76:B79)</f>
        <v>Warning</v>
      </c>
      <c r="E76" s="165" t="str" cm="1">
        <f t="array" aca="1" ref="E76" ca="1">_xll.d.TestUtils_And(E79:H79)</f>
        <v>Warning</v>
      </c>
      <c r="J76" s="165" t="str" cm="1">
        <f t="array" aca="1" ref="J76" ca="1">_xll.d.TestUtils_And(J79:M82)</f>
        <v>Warning</v>
      </c>
      <c r="O76" s="165" t="str" cm="1">
        <f t="array" aca="1" ref="O76" ca="1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aca="1" ref="C87" ca="1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aca="1" ref="C93" ca="1">_xll.d.TestUtils_IsTrue(C98="ERROR")</f>
        <v>Ok</v>
      </c>
      <c r="E93" s="50" t="s">
        <v>108</v>
      </c>
      <c r="F93" s="164" t="str" cm="1">
        <f t="array" aca="1" ref="F93" ca="1">_xll.d.TestUtils_IsTrue(E98="ERROR")</f>
        <v>Ok</v>
      </c>
      <c r="J93" s="50" t="s">
        <v>108</v>
      </c>
      <c r="K93" s="164" t="str" cm="1">
        <f t="array" aca="1" ref="K93" ca="1">_xll.d.TestUtils_IsTrue(J98="ERROR")</f>
        <v>Ok</v>
      </c>
      <c r="O93" s="50" t="s">
        <v>108</v>
      </c>
      <c r="P93" s="164" t="str" cm="1">
        <f t="array" aca="1" ref="P93" ca="1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aca="1" ref="C98" ca="1">_xll.d.TestUtils_And(B98:B101)</f>
        <v>Error</v>
      </c>
      <c r="E98" s="165" t="str" cm="1">
        <f t="array" aca="1" ref="E98" ca="1">_xll.d.TestUtils_And(E101:H101)</f>
        <v>Error</v>
      </c>
      <c r="J98" s="165" t="str" cm="1">
        <f t="array" aca="1" ref="J98" ca="1">_xll.d.TestUtils_And(J101:M104)</f>
        <v>Error</v>
      </c>
      <c r="O98" s="165" t="str" cm="1">
        <f t="array" aca="1" ref="O98" ca="1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aca="1" ref="C109" ca="1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aca="1" ref="C115" ca="1">_xll.d.TestUtils_IsTrue(C120="ERROR")</f>
        <v>Ok</v>
      </c>
      <c r="E115" s="50" t="s">
        <v>108</v>
      </c>
      <c r="F115" s="164" t="str" cm="1">
        <f t="array" aca="1" ref="F115" ca="1">_xll.d.TestUtils_IsTrue(E120="ERROR")</f>
        <v>Ok</v>
      </c>
      <c r="J115" s="50" t="s">
        <v>108</v>
      </c>
      <c r="K115" s="164" t="str" cm="1">
        <f t="array" aca="1" ref="K115" ca="1">_xll.d.TestUtils_IsTrue(J120="ERROR")</f>
        <v>Ok</v>
      </c>
      <c r="O115" s="50" t="s">
        <v>108</v>
      </c>
      <c r="P115" s="164" t="str" cm="1">
        <f t="array" aca="1" ref="P115" ca="1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aca="1" ref="C120" ca="1">_xll.d.TestUtils_Or(B120:B123)</f>
        <v>Error</v>
      </c>
      <c r="E120" s="165" t="str" cm="1">
        <f t="array" aca="1" ref="E120" ca="1">_xll.d.TestUtils_Or(E123:H123)</f>
        <v>Error</v>
      </c>
      <c r="J120" s="165" t="str" cm="1">
        <f t="array" aca="1" ref="J120" ca="1">_xll.d.TestUtils_Or(J123:M126)</f>
        <v>Error</v>
      </c>
      <c r="O120" s="165" t="str" cm="1">
        <f t="array" aca="1" ref="O120" ca="1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aca="1" ref="C131" ca="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aca="1" ref="C137" ca="1">_xll.d.TestUtils_IsTrue(C142="OK")</f>
        <v>Ok</v>
      </c>
      <c r="E137" s="50" t="s">
        <v>108</v>
      </c>
      <c r="F137" s="164" t="str" cm="1">
        <f t="array" aca="1" ref="F137" ca="1">_xll.d.TestUtils_IsTrue(E142="OK")</f>
        <v>Ok</v>
      </c>
      <c r="J137" s="50" t="s">
        <v>108</v>
      </c>
      <c r="K137" s="164" t="str" cm="1">
        <f t="array" aca="1" ref="K137" ca="1">_xll.d.TestUtils_IsTrue(J142="OK")</f>
        <v>Ok</v>
      </c>
      <c r="O137" s="50" t="s">
        <v>108</v>
      </c>
      <c r="P137" s="164" t="str" cm="1">
        <f t="array" aca="1" ref="P137" ca="1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aca="1" ref="C142" ca="1">_xll.d.TestUtils_Or(B142:B145)</f>
        <v>Ok</v>
      </c>
      <c r="E142" s="165" t="str" cm="1">
        <f t="array" aca="1" ref="E142" ca="1">_xll.d.TestUtils_Or(E145:H145)</f>
        <v>Ok</v>
      </c>
      <c r="J142" s="165" t="str" cm="1">
        <f t="array" aca="1" ref="J142" ca="1">_xll.d.TestUtils_Or(J145:M148)</f>
        <v>Ok</v>
      </c>
      <c r="O142" s="165" t="str" cm="1">
        <f t="array" aca="1" ref="O142" ca="1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aca="1" ref="C153" ca="1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aca="1" ref="C159" ca="1">_xll.d.TestUtils_IsTrue(C164="WARNING")</f>
        <v>Ok</v>
      </c>
      <c r="E159" s="50" t="s">
        <v>108</v>
      </c>
      <c r="F159" s="164" t="str" cm="1">
        <f t="array" aca="1" ref="F159" ca="1">_xll.d.TestUtils_IsTrue(E164="WARNING")</f>
        <v>Ok</v>
      </c>
      <c r="J159" s="50" t="s">
        <v>108</v>
      </c>
      <c r="K159" s="164" t="str" cm="1">
        <f t="array" aca="1" ref="K159" ca="1">_xll.d.TestUtils_IsTrue(J164="WARNING")</f>
        <v>Ok</v>
      </c>
      <c r="O159" s="50" t="s">
        <v>108</v>
      </c>
      <c r="P159" s="164" t="str" cm="1">
        <f t="array" aca="1" ref="P159" ca="1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aca="1" ref="C164" ca="1">_xll.d.TestUtils_Or(B164:B167)</f>
        <v>Warning</v>
      </c>
      <c r="E164" s="165" t="str" cm="1">
        <f t="array" aca="1" ref="E164" ca="1">_xll.d.TestUtils_Or(E167:H167)</f>
        <v>Warning</v>
      </c>
      <c r="J164" s="165" t="str" cm="1">
        <f t="array" aca="1" ref="J164" ca="1">_xll.d.TestUtils_Or(J167:M170)</f>
        <v>Warning</v>
      </c>
      <c r="O164" s="165" t="str" cm="1">
        <f t="array" aca="1" ref="O164" ca="1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aca="1" ref="C175" ca="1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aca="1" ref="C181" ca="1">_xll.d.TestUtils_IsTrue(C186="OK")</f>
        <v>Ok</v>
      </c>
      <c r="E181" s="50" t="s">
        <v>108</v>
      </c>
      <c r="F181" s="164" t="str" cm="1">
        <f t="array" aca="1" ref="F181" ca="1">_xll.d.TestUtils_IsTrue(E186="OK")</f>
        <v>Ok</v>
      </c>
      <c r="J181" s="50" t="s">
        <v>108</v>
      </c>
      <c r="K181" s="164" t="str" cm="1">
        <f t="array" aca="1" ref="K181" ca="1">_xll.d.TestUtils_IsTrue(J186="OK")</f>
        <v>Ok</v>
      </c>
      <c r="O181" s="50" t="s">
        <v>108</v>
      </c>
      <c r="P181" s="164" t="str" cm="1">
        <f t="array" aca="1" ref="P181" ca="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aca="1" ref="C186" ca="1">_xll.d.TestUtils_Or(B186:B189)</f>
        <v>Ok</v>
      </c>
      <c r="E186" s="165" t="str" cm="1">
        <f t="array" aca="1" ref="E186" ca="1">_xll.d.TestUtils_Or(E189:H189)</f>
        <v>Ok</v>
      </c>
      <c r="J186" s="165" t="str" cm="1">
        <f t="array" aca="1" ref="J186" ca="1">_xll.d.TestUtils_Or(J189:M192)</f>
        <v>Ok</v>
      </c>
      <c r="O186" s="165" t="str" cm="1">
        <f t="array" aca="1" ref="O186" ca="1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aca="1" ref="C197" ca="1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aca="1" ref="C203" ca="1">_xll.d.TestUtils_IsTrue(C208="OK")</f>
        <v>Ok</v>
      </c>
      <c r="E203" s="50" t="s">
        <v>108</v>
      </c>
      <c r="F203" s="164" t="str" cm="1">
        <f t="array" aca="1" ref="F203" ca="1">_xll.d.TestUtils_IsTrue(E208="OK")</f>
        <v>Ok</v>
      </c>
      <c r="J203" s="50" t="s">
        <v>108</v>
      </c>
      <c r="K203" s="164" t="str" cm="1">
        <f t="array" aca="1" ref="K203" ca="1">_xll.d.TestUtils_IsTrue(J208="OK")</f>
        <v>Ok</v>
      </c>
      <c r="O203" s="50" t="s">
        <v>108</v>
      </c>
      <c r="P203" s="164" t="str" cm="1">
        <f t="array" aca="1" ref="P203" ca="1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aca="1" ref="C208:C211" ca="1">_xll.d.TestUtils_Not(B208:B211)</f>
        <v>Ok</v>
      </c>
      <c r="E208" s="165" t="str" cm="1">
        <f t="array" aca="1" ref="E208" ca="1">_xll.d.TestUtils_Or(E211:H211)</f>
        <v>Ok</v>
      </c>
      <c r="J208" s="165" t="str" cm="1">
        <f t="array" aca="1" ref="J208" ca="1">_xll.d.TestUtils_Or(J211:M214)</f>
        <v>Ok</v>
      </c>
      <c r="O208" s="165" t="str" cm="1">
        <f t="array" aca="1" ref="O208" ca="1">_xll.d.TestUtils_Or(O211,O213:Q213,S211:S214,U211:W214)</f>
        <v>Ok</v>
      </c>
    </row>
    <row r="209" spans="2:23">
      <c r="B209" s="165" t="s">
        <v>124</v>
      </c>
      <c r="C209" t="str">
        <f ca="1"/>
        <v>Warning</v>
      </c>
    </row>
    <row r="210" spans="2:23">
      <c r="B210" s="165" t="s">
        <v>120</v>
      </c>
      <c r="C210" t="str">
        <f ca="1"/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f ca="1"/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aca="1" ref="C219" ca="1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aca="1" ref="C225" ca="1">_xll.d.TestUtils_IsTrue(C230="ERROR")</f>
        <v>Ok</v>
      </c>
      <c r="E225" s="50" t="s">
        <v>108</v>
      </c>
      <c r="F225" s="164" t="str" cm="1">
        <f t="array" aca="1" ref="F225" ca="1">_xll.d.TestUtils_IsTrue(F230="ERROR")</f>
        <v>Ok</v>
      </c>
      <c r="H225" s="50" t="s">
        <v>108</v>
      </c>
      <c r="I225" s="164" t="str" cm="1">
        <f t="array" aca="1" ref="I225" ca="1">_xll.d.TestUtils_IsTrue(_xll.d.TestUtils_Or(I230:I233)="ERROR")</f>
        <v>Ok</v>
      </c>
      <c r="K225" s="50" t="s">
        <v>108</v>
      </c>
      <c r="L225" s="164" t="str" cm="1">
        <f t="array" aca="1" ref="L225" ca="1">_xll.d.TestUtils_IsTrue(L230="ERROR")</f>
        <v>Ok</v>
      </c>
      <c r="N225" s="50" t="s">
        <v>108</v>
      </c>
      <c r="O225" s="164" t="str" cm="1">
        <f t="array" aca="1" ref="O225" ca="1">_xll.d.TestUtils_IsTrue(O230="ERROR")</f>
        <v>Ok</v>
      </c>
      <c r="Q225" s="50" t="s">
        <v>108</v>
      </c>
      <c r="R225" s="164" t="str" cm="1">
        <f t="array" aca="1" ref="R225" ca="1">_xll.d.TestUtils_IsTrue(R230="ERROR")</f>
        <v>Ok</v>
      </c>
      <c r="T225" s="50" t="s">
        <v>108</v>
      </c>
      <c r="U225" s="164" t="str" cm="1">
        <f t="array" aca="1" ref="U225" ca="1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aca="1" ref="C230" ca="1">_xll.d.TestUtils_And(B230:B233)</f>
        <v>Error</v>
      </c>
      <c r="E230" s="165" t="s">
        <v>110</v>
      </c>
      <c r="F230" s="165" t="str" cm="1">
        <f t="array" aca="1" ref="F230" ca="1">_xll.d.TestUtils_Or(E230:E233)</f>
        <v>Error</v>
      </c>
      <c r="H230" s="165" t="s">
        <v>110</v>
      </c>
      <c r="I230" s="164" t="str">
        <f t="array" aca="1" ref="I230:I233" ca="1">_xll.d.TestUtils_Not(H230:H233)</f>
        <v>Error</v>
      </c>
      <c r="K230" s="165" t="e">
        <f>NA()</f>
        <v>#N/A</v>
      </c>
      <c r="L230" s="164" t="str" cm="1">
        <f t="array" aca="1" ref="L230" ca="1">_xll.d.TestUtils_IsTrue(K230)</f>
        <v>Error</v>
      </c>
      <c r="N230" s="165" t="e">
        <f>NA()</f>
        <v>#N/A</v>
      </c>
      <c r="O230" s="164" t="str" cm="1">
        <f t="array" aca="1" ref="O230" ca="1">_xll.d.TestUtils_IsFalse(N230)</f>
        <v>Error</v>
      </c>
      <c r="Q230" s="165">
        <v>10</v>
      </c>
      <c r="R230" s="164" t="str" cm="1">
        <f t="array" aca="1" ref="R230" ca="1">_xll.d.TestUtils_GreaterThan(Q230,Q231)</f>
        <v>Error</v>
      </c>
      <c r="T230" s="165">
        <v>10</v>
      </c>
      <c r="U230" s="164" t="str" cm="1">
        <f t="array" aca="1" ref="U230" ca="1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f ca="1"/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f ca="1"/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f ca="1"/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389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Ok</v>
      </c>
      <c r="E4" s="134" t="s">
        <v>98</v>
      </c>
      <c r="F4" s="50"/>
    </row>
    <row r="5" spans="2:56">
      <c r="E5" s="409" t="s">
        <v>453</v>
      </c>
      <c r="F5" s="410"/>
    </row>
    <row r="6" spans="2:56">
      <c r="B6" s="189" t="s">
        <v>9</v>
      </c>
      <c r="C6" s="190" t="s">
        <v>10</v>
      </c>
      <c r="E6" s="411" t="s">
        <v>452</v>
      </c>
      <c r="F6" s="131"/>
    </row>
    <row r="7" spans="2:56">
      <c r="B7" s="186" t="s">
        <v>91</v>
      </c>
      <c r="C7" s="164" t="str">
        <f ca="1">C24</f>
        <v>Ok</v>
      </c>
    </row>
    <row r="8" spans="2:56">
      <c r="B8" s="186" t="s">
        <v>93</v>
      </c>
      <c r="C8" s="164" t="str">
        <f ca="1">C48</f>
        <v>Ok</v>
      </c>
    </row>
    <row r="9" spans="2:56">
      <c r="B9" s="186" t="s">
        <v>94</v>
      </c>
      <c r="C9" s="164" t="str">
        <f ca="1">C72</f>
        <v>Ok</v>
      </c>
    </row>
    <row r="10" spans="2:56">
      <c r="B10" s="186" t="s">
        <v>97</v>
      </c>
      <c r="C10" s="164" t="str">
        <f ca="1">C108</f>
        <v>Ok</v>
      </c>
    </row>
    <row r="11" spans="2:56">
      <c r="B11" s="186" t="s">
        <v>100</v>
      </c>
      <c r="C11" s="164" t="str">
        <f ca="1">C144</f>
        <v>Ok</v>
      </c>
    </row>
    <row r="12" spans="2:56">
      <c r="B12" s="186" t="s">
        <v>102</v>
      </c>
      <c r="C12" s="164" t="str">
        <f ca="1">C166</f>
        <v>Ok</v>
      </c>
    </row>
    <row r="13" spans="2:56">
      <c r="B13" s="186" t="s">
        <v>144</v>
      </c>
      <c r="C13" s="164" t="str">
        <f ca="1">C186</f>
        <v>Ok</v>
      </c>
    </row>
    <row r="14" spans="2:56">
      <c r="B14" s="186" t="s">
        <v>149</v>
      </c>
      <c r="C14" s="164" t="str">
        <f ca="1">C203</f>
        <v>Ok</v>
      </c>
    </row>
    <row r="17" spans="2:72" s="54" customFormat="1">
      <c r="B17" s="590" t="s">
        <v>530</v>
      </c>
    </row>
    <row r="18" spans="2:72">
      <c r="B18" s="591" t="s">
        <v>536</v>
      </c>
    </row>
    <row r="19" spans="2:72">
      <c r="B19" s="591"/>
    </row>
    <row r="20" spans="2:72">
      <c r="B20" s="591" t="s">
        <v>531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Ok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Ok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Ok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61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61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62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62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62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62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62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62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62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62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62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62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>
      <c r="B93" s="962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62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>
      <c r="B94" s="962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62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>
      <c r="B95" s="962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62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>
      <c r="B96" s="962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62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>
      <c r="B97" s="962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62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62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62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62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62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62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62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62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62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62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62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63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63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Ok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64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65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65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65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65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65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65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65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65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65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65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65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65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65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65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65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65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Ok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Ok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Ok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61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61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63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63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Ok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61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61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62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62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62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62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62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62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63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63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188</vt:i4>
      </vt:variant>
    </vt:vector>
  </HeadingPairs>
  <TitlesOfParts>
    <vt:vector size="21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2023-04-26T08:23:19Z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